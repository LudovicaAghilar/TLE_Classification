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esktop\besta\TLE\CNR_round_one\"/>
    </mc:Choice>
  </mc:AlternateContent>
  <xr:revisionPtr revIDLastSave="0" documentId="13_ncr:1_{013E5182-FBA2-4338-8759-CD3D34F53058}" xr6:coauthVersionLast="47" xr6:coauthVersionMax="47" xr10:uidLastSave="{00000000-0000-0000-0000-000000000000}"/>
  <bookViews>
    <workbookView xWindow="-110" yWindow="-110" windowWidth="22620" windowHeight="13500" xr2:uid="{F9657635-2B75-4D23-A936-7DE42B2E3C86}"/>
  </bookViews>
  <sheets>
    <sheet name="Foglio1" sheetId="1" r:id="rId1"/>
  </sheets>
  <definedNames>
    <definedName name="_xlnm._FilterDatabase" localSheetId="0" hidden="1">Foglio1!$A$1:$L$163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" i="1" l="1"/>
  <c r="R29" i="1"/>
  <c r="R28" i="1"/>
  <c r="R27" i="1"/>
  <c r="R26" i="1"/>
  <c r="R25" i="1"/>
  <c r="D39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Martina Baroffio</author>
  </authors>
  <commentList>
    <comment ref="C1" authorId="0" shapeId="0" xr:uid="{4AABB8B5-DF61-43FA-B948-B3B9BB916C76}">
      <text>
        <r>
          <rPr>
            <b/>
            <sz val="9"/>
            <color indexed="81"/>
            <rFont val="Tahoma"/>
            <family val="2"/>
          </rPr>
          <t>Martina Baroffio:</t>
        </r>
        <r>
          <rPr>
            <sz val="9"/>
            <color indexed="81"/>
            <rFont val="Tahoma"/>
            <family val="2"/>
          </rPr>
          <t xml:space="preserve">
1=si
0=no
</t>
        </r>
      </text>
    </comment>
    <comment ref="H1" authorId="0" shapeId="0" xr:uid="{53CAAA78-9762-462B-8784-DB1EFA723C0A}">
      <text>
        <r>
          <rPr>
            <sz val="16"/>
            <color indexed="81"/>
            <rFont val="Tahoma"/>
            <family val="2"/>
          </rPr>
          <t>0=negativa
1=HS 
2= tumore
3= cicatrice
4=eterotopia nodulare periventricolare
5=FCD
6=ang. Cavernoso
7=altro</t>
        </r>
      </text>
    </comment>
  </commentList>
</comments>
</file>

<file path=xl/sharedStrings.xml><?xml version="1.0" encoding="utf-8"?>
<sst xmlns="http://schemas.openxmlformats.org/spreadsheetml/2006/main" count="861" uniqueCount="258">
  <si>
    <t>ISTITUTO</t>
  </si>
  <si>
    <t>3TLE_BESTA_03</t>
  </si>
  <si>
    <t>3TLE_BESTA_19</t>
  </si>
  <si>
    <t>3TLE_BESTA_21</t>
  </si>
  <si>
    <t>3TLE_BESTA_23</t>
  </si>
  <si>
    <t>3TLE_BESTA_24</t>
  </si>
  <si>
    <t>3TLE_BESTA_25</t>
  </si>
  <si>
    <t>3TLE_BESTA_26</t>
  </si>
  <si>
    <t>3TLE_BESTA_28</t>
  </si>
  <si>
    <t>3TLE_BESTA_31</t>
  </si>
  <si>
    <t>3TLE_BESTA_35</t>
  </si>
  <si>
    <t>3TLE_BESTA_39</t>
  </si>
  <si>
    <t>3TLE_BESTA_41</t>
  </si>
  <si>
    <t>3TLE_BESTA_43</t>
  </si>
  <si>
    <t>3TLE_BESTA_46</t>
  </si>
  <si>
    <t>3TLE_BESTA_47</t>
  </si>
  <si>
    <t>3TLE_BESTA_48</t>
  </si>
  <si>
    <t>3TLE_BESTA_49</t>
  </si>
  <si>
    <t>3TLE_BESTA_57</t>
  </si>
  <si>
    <t>3TLE_BESTA_58</t>
  </si>
  <si>
    <t>3TLE_BESTA_62</t>
  </si>
  <si>
    <t>3TLE_NIGUARDA_02</t>
  </si>
  <si>
    <t>3TLE_NIGUARDA_04</t>
  </si>
  <si>
    <t>3TLE_NIGUARDA_07</t>
  </si>
  <si>
    <t>3TLE_NIGUARDA_14</t>
  </si>
  <si>
    <t>3TLE_NIGUARDA_17</t>
  </si>
  <si>
    <t>3TLE_NIGUARDA_20</t>
  </si>
  <si>
    <t>3TLE_NIGUARDA_24</t>
  </si>
  <si>
    <t>3TLE_NIGUARDA_26</t>
  </si>
  <si>
    <t>3TLE_NIGUARDA_27</t>
  </si>
  <si>
    <t>3TLE_NIGUARDA_38</t>
  </si>
  <si>
    <t>3TLE_NIGUARDA_42</t>
  </si>
  <si>
    <t>3TLE_NIGUARDA_43</t>
  </si>
  <si>
    <t>3TLE_NIGUARDA_45</t>
  </si>
  <si>
    <t>3TLE_NIGUARDA_47</t>
  </si>
  <si>
    <t>3TLE_NIGUARDA_49</t>
  </si>
  <si>
    <t>3TLE_NIGUARDA_52</t>
  </si>
  <si>
    <t>3TLE_NIGUARDA_54</t>
  </si>
  <si>
    <t>3TLE_NIGUARDA_55</t>
  </si>
  <si>
    <t>3TLE_NIGUARDA_57</t>
  </si>
  <si>
    <t>3TLE_NIGUARDA_60</t>
  </si>
  <si>
    <t>3TLE_NIGUARDA_61</t>
  </si>
  <si>
    <t>3TLE_NIGUARDA_64</t>
  </si>
  <si>
    <t>3TLE_NIGUARDA_69</t>
  </si>
  <si>
    <t>3TLE_NIGUARDA_73</t>
  </si>
  <si>
    <t>3TLE_NIGUARDA_79</t>
  </si>
  <si>
    <t>3TLE_NIGUARDA_84</t>
  </si>
  <si>
    <t>3TLE_NIGUARDA_90</t>
  </si>
  <si>
    <t>3TLE_NIGUARDA_92</t>
  </si>
  <si>
    <t>3TLE_NIGUARDA_96</t>
  </si>
  <si>
    <t>3TLE_MO_02</t>
  </si>
  <si>
    <t>3TLE_MO_03</t>
  </si>
  <si>
    <t>3TLE_MO_08</t>
  </si>
  <si>
    <t>3TLE_MO_09</t>
  </si>
  <si>
    <t>3TLE_MO_12</t>
  </si>
  <si>
    <t>3TLE_MO_22</t>
  </si>
  <si>
    <t>3TLE_MO_23</t>
  </si>
  <si>
    <t>3TLE_MO_28</t>
  </si>
  <si>
    <t>3TLE_MO_29</t>
  </si>
  <si>
    <t>TLE</t>
  </si>
  <si>
    <t>ISTOLOGIA</t>
  </si>
  <si>
    <t>Cicatrice gliale laminare + atrofia corticale + infiltrati infiammatori in polo T; gliosi + modesti infiltrati infiammatori di formazione ippocampale</t>
  </si>
  <si>
    <t>HS1+FCDIIIa</t>
  </si>
  <si>
    <t>HS1</t>
  </si>
  <si>
    <t>HS2+FCDIIIa</t>
  </si>
  <si>
    <t>HS1+FCD IIIa</t>
  </si>
  <si>
    <t xml:space="preserve">HS2 </t>
  </si>
  <si>
    <t>FCD Ib + gliosi + infiltrati infiammatori</t>
  </si>
  <si>
    <t>HS + gliosi</t>
  </si>
  <si>
    <t>HS1+gliosi</t>
  </si>
  <si>
    <t>HS3+gliosi</t>
  </si>
  <si>
    <t>gliosi</t>
  </si>
  <si>
    <t>FCD IB</t>
  </si>
  <si>
    <t>HS</t>
  </si>
  <si>
    <t>cripto</t>
  </si>
  <si>
    <t>encefalite</t>
  </si>
  <si>
    <t>HS tipo III</t>
  </si>
  <si>
    <t>HS tipo I</t>
  </si>
  <si>
    <t>FCD IIb</t>
  </si>
  <si>
    <t>encefalite?</t>
  </si>
  <si>
    <t>FCD IA</t>
  </si>
  <si>
    <t>FCD IIA</t>
  </si>
  <si>
    <t>HS tipo II</t>
  </si>
  <si>
    <t>HS1 + FCD IIIa</t>
  </si>
  <si>
    <t>FCD I b</t>
  </si>
  <si>
    <t>ETA'</t>
  </si>
  <si>
    <t>VOLONTARIO MONDINO</t>
  </si>
  <si>
    <t>/</t>
  </si>
  <si>
    <t>SEX</t>
  </si>
  <si>
    <t>M</t>
  </si>
  <si>
    <t>F</t>
  </si>
  <si>
    <t>ID CLOUD</t>
  </si>
  <si>
    <t>ID LOCALE</t>
  </si>
  <si>
    <t>TLE200</t>
  </si>
  <si>
    <t>TLE212</t>
  </si>
  <si>
    <t>TLE213</t>
  </si>
  <si>
    <t>TLE214</t>
  </si>
  <si>
    <t>TLE215</t>
  </si>
  <si>
    <t>TLE216</t>
  </si>
  <si>
    <t>TLE217</t>
  </si>
  <si>
    <t>TLE218</t>
  </si>
  <si>
    <t>TLE219</t>
  </si>
  <si>
    <t>TLE221</t>
  </si>
  <si>
    <t>TLE224</t>
  </si>
  <si>
    <t>TLE225</t>
  </si>
  <si>
    <t>TLE226</t>
  </si>
  <si>
    <t>TLE227</t>
  </si>
  <si>
    <t>TLE228</t>
  </si>
  <si>
    <t>TLE229</t>
  </si>
  <si>
    <t>TLE230</t>
  </si>
  <si>
    <t>TLE232</t>
  </si>
  <si>
    <t>TLE233</t>
  </si>
  <si>
    <t>TLE236</t>
  </si>
  <si>
    <t>TLE006</t>
  </si>
  <si>
    <t>TLE013</t>
  </si>
  <si>
    <t>TLE004</t>
  </si>
  <si>
    <t>TLE025</t>
  </si>
  <si>
    <t>TLE032</t>
  </si>
  <si>
    <t>TLE035</t>
  </si>
  <si>
    <t>TLE040</t>
  </si>
  <si>
    <t>TLE042</t>
  </si>
  <si>
    <t>TLE043</t>
  </si>
  <si>
    <t>TLE065</t>
  </si>
  <si>
    <t>TLE075</t>
  </si>
  <si>
    <t>TLE076</t>
  </si>
  <si>
    <t>TLE080</t>
  </si>
  <si>
    <t>TLE086</t>
  </si>
  <si>
    <t>TLE089</t>
  </si>
  <si>
    <t>TLE098</t>
  </si>
  <si>
    <t>TLE002</t>
  </si>
  <si>
    <t>TLE103</t>
  </si>
  <si>
    <t>TLE107</t>
  </si>
  <si>
    <t>TLE112</t>
  </si>
  <si>
    <t>TLE119</t>
  </si>
  <si>
    <t>TLE125</t>
  </si>
  <si>
    <t>TLE133</t>
  </si>
  <si>
    <t>TLE149</t>
  </si>
  <si>
    <t>TLE156</t>
  </si>
  <si>
    <t>TLE161</t>
  </si>
  <si>
    <t>TLE172</t>
  </si>
  <si>
    <t>TLE174</t>
  </si>
  <si>
    <t>TLE194</t>
  </si>
  <si>
    <t>TLE008</t>
  </si>
  <si>
    <t>TLE009</t>
  </si>
  <si>
    <t>TLE011</t>
  </si>
  <si>
    <t>TLE015</t>
  </si>
  <si>
    <t>TLE016</t>
  </si>
  <si>
    <t>TLE018</t>
  </si>
  <si>
    <t>TLE020</t>
  </si>
  <si>
    <t>TLE022</t>
  </si>
  <si>
    <t>TLE027</t>
  </si>
  <si>
    <t>TLE028</t>
  </si>
  <si>
    <t>TLE029</t>
  </si>
  <si>
    <t>TLE031</t>
  </si>
  <si>
    <t>TLE045</t>
  </si>
  <si>
    <t>TLE048</t>
  </si>
  <si>
    <t>TLE049</t>
  </si>
  <si>
    <t>TLE051</t>
  </si>
  <si>
    <t>TLE053</t>
  </si>
  <si>
    <t>TLE092</t>
  </si>
  <si>
    <t>TLE100</t>
  </si>
  <si>
    <t>TLE101</t>
  </si>
  <si>
    <t>TLE110</t>
  </si>
  <si>
    <t>TLE114</t>
  </si>
  <si>
    <t>TLE115</t>
  </si>
  <si>
    <t>TLE116</t>
  </si>
  <si>
    <t>TLE117</t>
  </si>
  <si>
    <t xml:space="preserve">TLE118 </t>
  </si>
  <si>
    <t>TLE134</t>
  </si>
  <si>
    <t>TLE136</t>
  </si>
  <si>
    <t>TLE137</t>
  </si>
  <si>
    <t>TLE139</t>
  </si>
  <si>
    <t>TLE141</t>
  </si>
  <si>
    <t>TLE143</t>
  </si>
  <si>
    <t>TLE153</t>
  </si>
  <si>
    <t>TLE162</t>
  </si>
  <si>
    <t>TLE164</t>
  </si>
  <si>
    <t>TLE165</t>
  </si>
  <si>
    <t>TLE166</t>
  </si>
  <si>
    <t>TLE177</t>
  </si>
  <si>
    <t>TLE178</t>
  </si>
  <si>
    <t>TLE179</t>
  </si>
  <si>
    <t>TLE181</t>
  </si>
  <si>
    <t>TLE182</t>
  </si>
  <si>
    <t>TLE183</t>
  </si>
  <si>
    <t>TLE187</t>
  </si>
  <si>
    <t>TLE189</t>
  </si>
  <si>
    <t>TLE190</t>
  </si>
  <si>
    <t>TLE193</t>
  </si>
  <si>
    <t>TLE132</t>
  </si>
  <si>
    <t>TLE130</t>
  </si>
  <si>
    <t>MPM</t>
  </si>
  <si>
    <t>NODDI</t>
  </si>
  <si>
    <t>LOBO</t>
  </si>
  <si>
    <t>Temporale</t>
  </si>
  <si>
    <t xml:space="preserve">Temporale </t>
  </si>
  <si>
    <t>MRI</t>
  </si>
  <si>
    <t>7 (maldefinizione B/G)</t>
  </si>
  <si>
    <t>1</t>
  </si>
  <si>
    <t>Infiltrati</t>
  </si>
  <si>
    <t>HS+FCDIII</t>
  </si>
  <si>
    <t>FCDII</t>
  </si>
  <si>
    <t>Gliosi</t>
  </si>
  <si>
    <t>FCDI</t>
  </si>
  <si>
    <t>Cripto</t>
  </si>
  <si>
    <t>STM</t>
  </si>
  <si>
    <t>3TLE_HC_01</t>
  </si>
  <si>
    <t>3TLE_HC_02</t>
  </si>
  <si>
    <t>3TLE_HC_03</t>
  </si>
  <si>
    <t>3TLE_HC_04</t>
  </si>
  <si>
    <t>3TLE_HC_05</t>
  </si>
  <si>
    <t>3TLE_HC_06</t>
  </si>
  <si>
    <t>3TLE_HC_07</t>
  </si>
  <si>
    <t>3TLE_HC_08</t>
  </si>
  <si>
    <t>3TLE_HC_09</t>
  </si>
  <si>
    <t>3TLE_HC_10</t>
  </si>
  <si>
    <t>3TLE_HC_11</t>
  </si>
  <si>
    <t>3TLE_HC_12</t>
  </si>
  <si>
    <t>3TLE_HC_13</t>
  </si>
  <si>
    <t>3TLE_HC_14</t>
  </si>
  <si>
    <t>3TLE_HC_15</t>
  </si>
  <si>
    <t>3TLE_HC_16</t>
  </si>
  <si>
    <t>3TLE_HC_17</t>
  </si>
  <si>
    <t>3TLE_HC_18</t>
  </si>
  <si>
    <t>3TLE_HC_19</t>
  </si>
  <si>
    <t>3TLE_HC_20</t>
  </si>
  <si>
    <t>3TLE_HC_21</t>
  </si>
  <si>
    <t>3TLE_HC_22</t>
  </si>
  <si>
    <t>3TLE_HC_23</t>
  </si>
  <si>
    <t>3TLE_HC_24</t>
  </si>
  <si>
    <t>3TLE_HC_25</t>
  </si>
  <si>
    <t>3TLE_HC_26</t>
  </si>
  <si>
    <t>3TLE_HC_28</t>
  </si>
  <si>
    <t>3TLE_HC_29</t>
  </si>
  <si>
    <t>3TLE_HC_30</t>
  </si>
  <si>
    <t>3TLE_HC_31</t>
  </si>
  <si>
    <t>3TLE_HC_32</t>
  </si>
  <si>
    <t>3TLE_HC_33</t>
  </si>
  <si>
    <t>3TLE_HC_34</t>
  </si>
  <si>
    <t>3TLE_HC_35</t>
  </si>
  <si>
    <t>3TLE_HC_36</t>
  </si>
  <si>
    <t>3TLE_HC_37</t>
  </si>
  <si>
    <t>3TLE_HC_38</t>
  </si>
  <si>
    <t>3TLE_HC_39</t>
  </si>
  <si>
    <t>3TLE_HC_40</t>
  </si>
  <si>
    <t>3TLE_HC_41</t>
  </si>
  <si>
    <t>3TLE_HC_42</t>
  </si>
  <si>
    <t>3TLE_HC_43</t>
  </si>
  <si>
    <t>3TLE_HC_44</t>
  </si>
  <si>
    <t>3TLE_HC_45</t>
  </si>
  <si>
    <t>3TLE_HC_46</t>
  </si>
  <si>
    <t>3TLE_HC_47</t>
  </si>
  <si>
    <t>3TLE_HC_48</t>
  </si>
  <si>
    <t>3TLE_HC_49</t>
  </si>
  <si>
    <t>3TLE_HC_50</t>
  </si>
  <si>
    <t>CRIPTO</t>
  </si>
  <si>
    <t>FCDI+FCDII</t>
  </si>
  <si>
    <t>Inflitrati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</si>
</sst>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indexed="8"/>
      <name val="Helvetica Neue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2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Protection="0">
      <alignment vertical="top"/>
    </xf>
  </cellStyleXfs>
  <cellXfs count="15">
    <xf numFmtId="0" fontId="0" fillId="0" borderId="0" xfId="0"/>
    <xf numFmtId="49" fontId="4" fillId="0" borderId="0" xfId="0" applyNumberFormat="1" applyFont="1"/>
    <xf numFmtId="49" fontId="3" fillId="0" borderId="0" xfId="0" applyNumberFormat="1" applyFont="1"/>
    <xf numFmtId="0" fontId="3" fillId="0" borderId="0" xfId="0" applyFont="1"/>
    <xf numFmtId="0" fontId="4" fillId="0" borderId="0" xfId="0" applyFont="1"/>
    <xf numFmtId="49" fontId="0" fillId="0" borderId="0" xfId="0" applyNumberForma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Normale" xfId="0" builtinId="0"/>
    <cellStyle name="Normale 2" xfId="1" xr:uid="{0D008349-5F41-4D9E-8EB0-DCBE5568E7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Foglio1!$Q$25:$Q$30</c:f>
              <c:strCache>
                <c:ptCount val="6"/>
                <c:pt idx="0">
                  <c:v>HS</c:v>
                </c:pt>
                <c:pt idx="1">
                  <c:v>HS+FCDIII</c:v>
                </c:pt>
                <c:pt idx="2">
                  <c:v>Gliosi</c:v>
                </c:pt>
                <c:pt idx="3">
                  <c:v>CRIPTO</c:v>
                </c:pt>
                <c:pt idx="4">
                  <c:v>FCDI+FCDII</c:v>
                </c:pt>
                <c:pt idx="5">
                  <c:v>Inflitrati</c:v>
                </c:pt>
              </c:strCache>
            </c:strRef>
          </c:cat>
          <c:val>
            <c:numRef>
              <c:f>Foglio1!$R$25:$R$30</c:f>
              <c:numCache>
                <c:formatCode>General</c:formatCode>
                <c:ptCount val="6"/>
                <c:pt idx="0">
                  <c:v>30</c:v>
                </c:pt>
                <c:pt idx="1">
                  <c:v>8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C-44B6-B3FA-0E3154006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260655"/>
        <c:axId val="1986795263"/>
      </c:barChart>
      <c:catAx>
        <c:axId val="199426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6795263"/>
        <c:crosses val="autoZero"/>
        <c:auto val="1"/>
        <c:lblAlgn val="ctr"/>
        <c:lblOffset val="100"/>
        <c:noMultiLvlLbl val="0"/>
      </c:catAx>
      <c:valAx>
        <c:axId val="198679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9426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113757</xdr:colOff>
      <xdr:row>0</xdr:row>
      <xdr:rowOff>131884</xdr:rowOff>
    </xdr:from>
    <xdr:to>
      <xdr:col>27</xdr:col>
      <xdr:colOff>20197</xdr:colOff>
      <xdr:row>21</xdr:row>
      <xdr:rowOff>127000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E8BBA763-F11A-A888-AC9D-4ADBD3EE9EED}"/>
            </a:ext>
          </a:extLst>
        </xdr:cNvPr>
        <xdr:cNvSpPr txBox="1"/>
      </xdr:nvSpPr>
      <xdr:spPr>
        <a:xfrm>
          <a:off x="17971911" y="131884"/>
          <a:ext cx="7360363" cy="6433039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2400" b="1">
              <a:solidFill>
                <a:srgbClr val="FF0000"/>
              </a:solidFill>
            </a:rPr>
            <a:t>Note:</a:t>
          </a:r>
        </a:p>
        <a:p>
          <a:r>
            <a:rPr lang="it-IT" sz="1800"/>
            <a:t>- </a:t>
          </a:r>
          <a:r>
            <a:rPr lang="it-IT" sz="1800" b="1"/>
            <a:t>BESTA (3 in sospeso gialli)</a:t>
          </a:r>
          <a:r>
            <a:rPr lang="it-IT" sz="1800"/>
            <a:t>: </a:t>
          </a:r>
          <a:endParaRPr lang="it-IT" sz="1800" baseline="0"/>
        </a:p>
        <a:p>
          <a:r>
            <a:rPr lang="it-IT" sz="1800" baseline="0"/>
            <a:t>	-Lobi non certi: 34,36</a:t>
          </a:r>
        </a:p>
        <a:p>
          <a:r>
            <a:rPr lang="it-IT" sz="1800" baseline="0"/>
            <a:t>	-13 domenico deve passarmelo</a:t>
          </a:r>
        </a:p>
        <a:p>
          <a:r>
            <a:rPr lang="it-IT" sz="1800" baseline="0"/>
            <a:t>	</a:t>
          </a:r>
          <a:r>
            <a:rPr lang="it-IT" sz="1800" b="1" baseline="0"/>
            <a:t>-23 potenziali, attualmente 20</a:t>
          </a:r>
        </a:p>
        <a:p>
          <a:r>
            <a:rPr lang="it-IT" sz="1800"/>
            <a:t>- </a:t>
          </a:r>
          <a:r>
            <a:rPr lang="it-IT" sz="1800" b="1"/>
            <a:t>NIGUARDA (34</a:t>
          </a:r>
          <a:r>
            <a:rPr lang="it-IT" sz="1800" b="1" baseline="0"/>
            <a:t> in sospeso gialli</a:t>
          </a:r>
          <a:r>
            <a:rPr lang="it-IT" sz="1800" b="1"/>
            <a:t>)</a:t>
          </a:r>
          <a:r>
            <a:rPr lang="it-IT" sz="1800"/>
            <a:t>: </a:t>
          </a:r>
        </a:p>
        <a:p>
          <a:r>
            <a:rPr lang="it-IT" sz="1800" baseline="0"/>
            <a:t>	-immagini mancano 15,16,19,35,74, 80, 83,85, 94, 100</a:t>
          </a:r>
        </a:p>
        <a:p>
          <a:r>
            <a:rPr lang="it-IT" sz="1800" baseline="0"/>
            <a:t>	-Mancano i lobi (o non puramente temporali) di: 3,	5,10,11, 16 	  	19,25,28,39,41,59,81,82</a:t>
          </a:r>
        </a:p>
        <a:p>
          <a:r>
            <a:rPr lang="it-IT" sz="1800" baseline="0"/>
            <a:t>	-Lobi temporali presi da PET: 6,15,23,48,56,67,68,70,74,85,89,93,97</a:t>
          </a:r>
        </a:p>
        <a:p>
          <a:r>
            <a:rPr lang="it-IT" sz="1800" baseline="0"/>
            <a:t>	-Istologie dubbie: </a:t>
          </a:r>
          <a:r>
            <a:rPr lang="it-IT" sz="1800" u="sng" baseline="0"/>
            <a:t>10,12,46,95,100</a:t>
          </a:r>
        </a:p>
        <a:p>
          <a:r>
            <a:rPr lang="it-IT" sz="1800" baseline="0"/>
            <a:t>	-PNH sarebbero 5 temporali certi in più</a:t>
          </a:r>
        </a:p>
        <a:p>
          <a:r>
            <a:rPr lang="it-IT" sz="1800" baseline="0"/>
            <a:t>	-</a:t>
          </a:r>
          <a:r>
            <a:rPr lang="it-IT" sz="1800" b="1" baseline="0"/>
            <a:t>63 potenziali, attualmente 29</a:t>
          </a:r>
        </a:p>
        <a:p>
          <a:r>
            <a:rPr lang="it-IT" sz="1800"/>
            <a:t>- </a:t>
          </a:r>
          <a:r>
            <a:rPr lang="it-IT" sz="1800" b="1"/>
            <a:t>MODENA</a:t>
          </a:r>
          <a:r>
            <a:rPr lang="it-IT" sz="1800"/>
            <a:t>: </a:t>
          </a:r>
        </a:p>
        <a:p>
          <a:r>
            <a:rPr lang="it-IT" sz="1800"/>
            <a:t>	-immagini</a:t>
          </a:r>
          <a:r>
            <a:rPr lang="it-IT" sz="1800" baseline="0"/>
            <a:t> mancanti:4,36,46,47,48,49,50</a:t>
          </a:r>
          <a:endParaRPr lang="it-IT" sz="1800"/>
        </a:p>
        <a:p>
          <a:r>
            <a:rPr lang="it-IT" sz="1800" baseline="0"/>
            <a:t>	-non hanno fatto MT</a:t>
          </a:r>
        </a:p>
        <a:p>
          <a:r>
            <a:rPr lang="it-IT" sz="1800" baseline="0"/>
            <a:t>	</a:t>
          </a:r>
          <a:r>
            <a:rPr lang="it-IT" sz="1800" b="1" baseline="0"/>
            <a:t>-16 potenziali, attualmente 9</a:t>
          </a:r>
        </a:p>
        <a:p>
          <a:endParaRPr lang="it-IT" sz="1800" b="1" baseline="0"/>
        </a:p>
        <a:p>
          <a:r>
            <a:rPr lang="it-IT" sz="1800" b="1" baseline="0"/>
            <a:t>TOTALE: 105 potenziali, 58 attuali</a:t>
          </a:r>
        </a:p>
        <a:p>
          <a:endParaRPr lang="it-IT" sz="1800" b="1" baseline="0"/>
        </a:p>
        <a:p>
          <a:r>
            <a:rPr lang="it-IT" sz="1800"/>
            <a:t>[ ] TLE120 controllo mondino ci manca dato </a:t>
          </a:r>
        </a:p>
      </xdr:txBody>
    </xdr:sp>
    <xdr:clientData/>
  </xdr:twoCellAnchor>
  <xdr:twoCellAnchor>
    <xdr:from>
      <xdr:col>18</xdr:col>
      <xdr:colOff>89581</xdr:colOff>
      <xdr:row>22</xdr:row>
      <xdr:rowOff>130856</xdr:rowOff>
    </xdr:from>
    <xdr:to>
      <xdr:col>25</xdr:col>
      <xdr:colOff>375331</xdr:colOff>
      <xdr:row>32</xdr:row>
      <xdr:rowOff>152627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8DD4885-DBBD-A556-ABC1-4A6426D4C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EF2D-1C1E-4C5B-9E22-F52FB5985581}">
  <dimension ref="A1:R366"/>
  <sheetViews>
    <sheetView tabSelected="1" topLeftCell="A3" zoomScale="56" zoomScaleNormal="100" workbookViewId="0">
      <pane xSplit="1" topLeftCell="B1" activePane="topRight" state="frozen"/>
      <selection pane="topRight" activeCell="X35" sqref="X35"/>
    </sheetView>
  </sheetViews>
  <sheetFormatPr defaultRowHeight="18.5"/>
  <cols>
    <col min="1" max="1" width="27.08984375" style="4" customWidth="1"/>
    <col min="2" max="2" width="19.08984375" customWidth="1"/>
    <col min="3" max="3" width="12" style="5" customWidth="1"/>
    <col min="4" max="4" width="20.6328125" customWidth="1"/>
    <col min="5" max="5" width="28.36328125" customWidth="1"/>
    <col min="6" max="6" width="23.1796875" customWidth="1"/>
    <col min="7" max="7" width="12.26953125" customWidth="1"/>
    <col min="8" max="8" width="10" customWidth="1"/>
    <col min="9" max="9" width="14.08984375" customWidth="1"/>
    <col min="10" max="10" width="13.26953125" customWidth="1"/>
    <col min="11" max="11" width="20.54296875" customWidth="1"/>
    <col min="12" max="12" width="26.36328125" customWidth="1"/>
    <col min="13" max="13" width="10.90625" customWidth="1"/>
    <col min="17" max="17" width="11.26953125" customWidth="1"/>
  </cols>
  <sheetData>
    <row r="1" spans="1:14" ht="29" thickBot="1">
      <c r="A1" s="8" t="s">
        <v>91</v>
      </c>
      <c r="B1" s="8" t="s">
        <v>92</v>
      </c>
      <c r="C1" s="8" t="s">
        <v>59</v>
      </c>
      <c r="D1" s="8" t="s">
        <v>0</v>
      </c>
      <c r="E1" s="9" t="s">
        <v>60</v>
      </c>
      <c r="F1" s="9" t="s">
        <v>60</v>
      </c>
      <c r="G1" s="8" t="s">
        <v>73</v>
      </c>
      <c r="H1" s="8" t="s">
        <v>196</v>
      </c>
      <c r="I1" s="8" t="s">
        <v>191</v>
      </c>
      <c r="J1" s="8" t="s">
        <v>192</v>
      </c>
      <c r="K1" s="8" t="s">
        <v>60</v>
      </c>
      <c r="L1" s="8" t="s">
        <v>193</v>
      </c>
      <c r="M1" s="8" t="s">
        <v>88</v>
      </c>
      <c r="N1" s="8" t="s">
        <v>85</v>
      </c>
    </row>
    <row r="2" spans="1:14" ht="21">
      <c r="A2" s="6" t="s">
        <v>1</v>
      </c>
      <c r="B2" s="10" t="s">
        <v>93</v>
      </c>
      <c r="C2" s="6">
        <v>1</v>
      </c>
      <c r="D2" s="6" t="str">
        <f t="shared" ref="D2" si="0">IF(ISERROR(SEARCH("BESTA",A2)), IF(ISERROR(SEARCH("NIGUARDA",A2)), IF(ISERROR(SEARCH("PV",A2)), IF(ISERROR(SEARCH("MO",A2)), "", "MODENA"), "PAVIA"), "NIGUARDA"),"BESTA")</f>
        <v>BESTA</v>
      </c>
      <c r="E2" s="14" t="s">
        <v>199</v>
      </c>
      <c r="F2" s="7" t="s">
        <v>61</v>
      </c>
      <c r="G2" s="6">
        <v>0</v>
      </c>
      <c r="H2" s="12">
        <v>5</v>
      </c>
      <c r="I2" s="13" t="b">
        <v>1</v>
      </c>
      <c r="J2" s="13" t="b">
        <v>0</v>
      </c>
      <c r="K2" s="13" t="b">
        <v>1</v>
      </c>
      <c r="L2" s="6" t="s">
        <v>194</v>
      </c>
      <c r="M2" s="6" t="s">
        <v>90</v>
      </c>
      <c r="N2" s="6">
        <v>30</v>
      </c>
    </row>
    <row r="3" spans="1:14" ht="21">
      <c r="A3" s="6" t="s">
        <v>2</v>
      </c>
      <c r="B3" s="6" t="s">
        <v>94</v>
      </c>
      <c r="C3" s="6">
        <v>1</v>
      </c>
      <c r="D3" s="6" t="str">
        <f t="shared" ref="D3:D23" si="1">IF(ISERROR(SEARCH("BESTA",A3)), IF(ISERROR(SEARCH("NIGUARDA",A3)), IF(ISERROR(SEARCH("PV",A3)), IF(ISERROR(SEARCH("MO",A3)), "", "MODENA"), "PAVIA"), "NIGUARDA"),"BESTA")</f>
        <v>BESTA</v>
      </c>
      <c r="E3" s="14" t="s">
        <v>200</v>
      </c>
      <c r="F3" s="7" t="s">
        <v>62</v>
      </c>
      <c r="G3" s="6">
        <v>1</v>
      </c>
      <c r="H3" s="12">
        <v>1</v>
      </c>
      <c r="I3" s="13" t="b">
        <v>1</v>
      </c>
      <c r="J3" s="13" t="b">
        <v>0</v>
      </c>
      <c r="K3" s="13" t="b">
        <v>1</v>
      </c>
      <c r="L3" s="6" t="s">
        <v>194</v>
      </c>
      <c r="M3" s="6" t="s">
        <v>90</v>
      </c>
      <c r="N3" s="6">
        <v>45</v>
      </c>
    </row>
    <row r="4" spans="1:14" ht="21">
      <c r="A4" s="6" t="s">
        <v>3</v>
      </c>
      <c r="B4" s="6" t="s">
        <v>95</v>
      </c>
      <c r="C4" s="6">
        <v>1</v>
      </c>
      <c r="D4" s="6" t="str">
        <f t="shared" si="1"/>
        <v>BESTA</v>
      </c>
      <c r="E4" s="14" t="s">
        <v>200</v>
      </c>
      <c r="F4" s="7" t="s">
        <v>62</v>
      </c>
      <c r="G4" s="6">
        <v>1</v>
      </c>
      <c r="H4" s="12">
        <v>1</v>
      </c>
      <c r="I4" s="13" t="b">
        <v>1</v>
      </c>
      <c r="J4" s="13" t="b">
        <v>1</v>
      </c>
      <c r="K4" s="13" t="b">
        <v>1</v>
      </c>
      <c r="L4" s="6" t="s">
        <v>194</v>
      </c>
      <c r="M4" s="6" t="s">
        <v>89</v>
      </c>
      <c r="N4" s="6">
        <v>36</v>
      </c>
    </row>
    <row r="5" spans="1:14" ht="21">
      <c r="A5" s="6" t="s">
        <v>4</v>
      </c>
      <c r="B5" s="6" t="s">
        <v>96</v>
      </c>
      <c r="C5" s="6">
        <v>1</v>
      </c>
      <c r="D5" s="6" t="str">
        <f t="shared" si="1"/>
        <v>BESTA</v>
      </c>
      <c r="E5" s="14" t="s">
        <v>200</v>
      </c>
      <c r="F5" s="7" t="s">
        <v>62</v>
      </c>
      <c r="G5" s="6">
        <v>1</v>
      </c>
      <c r="H5" s="12">
        <v>5</v>
      </c>
      <c r="I5" s="13" t="b">
        <v>1</v>
      </c>
      <c r="J5" s="13" t="b">
        <v>1</v>
      </c>
      <c r="K5" s="13" t="b">
        <v>1</v>
      </c>
      <c r="L5" s="6" t="s">
        <v>194</v>
      </c>
      <c r="M5" s="6" t="s">
        <v>90</v>
      </c>
      <c r="N5" s="6">
        <v>33</v>
      </c>
    </row>
    <row r="6" spans="1:14" ht="21">
      <c r="A6" s="6" t="s">
        <v>5</v>
      </c>
      <c r="B6" s="6" t="s">
        <v>97</v>
      </c>
      <c r="C6" s="6">
        <v>1</v>
      </c>
      <c r="D6" s="6" t="str">
        <f t="shared" si="1"/>
        <v>BESTA</v>
      </c>
      <c r="E6" s="14" t="s">
        <v>73</v>
      </c>
      <c r="F6" s="7" t="s">
        <v>63</v>
      </c>
      <c r="G6" s="6">
        <v>1</v>
      </c>
      <c r="H6" s="12">
        <v>1</v>
      </c>
      <c r="I6" s="13" t="b">
        <v>1</v>
      </c>
      <c r="J6" s="13" t="b">
        <v>0</v>
      </c>
      <c r="K6" s="13" t="b">
        <v>1</v>
      </c>
      <c r="L6" s="6" t="s">
        <v>194</v>
      </c>
      <c r="M6" s="6" t="s">
        <v>89</v>
      </c>
      <c r="N6" s="6">
        <v>52</v>
      </c>
    </row>
    <row r="7" spans="1:14" ht="21">
      <c r="A7" s="6" t="s">
        <v>6</v>
      </c>
      <c r="B7" s="6" t="s">
        <v>98</v>
      </c>
      <c r="C7" s="6">
        <v>1</v>
      </c>
      <c r="D7" s="6" t="str">
        <f t="shared" si="1"/>
        <v>BESTA</v>
      </c>
      <c r="E7" s="14" t="s">
        <v>200</v>
      </c>
      <c r="F7" s="7" t="s">
        <v>65</v>
      </c>
      <c r="G7" s="6">
        <v>1</v>
      </c>
      <c r="H7" s="12">
        <v>1</v>
      </c>
      <c r="I7" s="13" t="b">
        <v>1</v>
      </c>
      <c r="J7" s="13" t="b">
        <v>0</v>
      </c>
      <c r="K7" s="13" t="b">
        <v>1</v>
      </c>
      <c r="L7" s="6" t="s">
        <v>194</v>
      </c>
      <c r="M7" s="6" t="s">
        <v>90</v>
      </c>
      <c r="N7" s="6">
        <v>29</v>
      </c>
    </row>
    <row r="8" spans="1:14" ht="21">
      <c r="A8" s="6" t="s">
        <v>7</v>
      </c>
      <c r="B8" s="6" t="s">
        <v>99</v>
      </c>
      <c r="C8" s="6">
        <v>1</v>
      </c>
      <c r="D8" s="6" t="str">
        <f t="shared" si="1"/>
        <v>BESTA</v>
      </c>
      <c r="E8" s="14" t="s">
        <v>73</v>
      </c>
      <c r="F8" s="7" t="s">
        <v>66</v>
      </c>
      <c r="G8" s="6">
        <v>1</v>
      </c>
      <c r="H8" s="12">
        <v>1</v>
      </c>
      <c r="I8" s="13" t="b">
        <v>1</v>
      </c>
      <c r="J8" s="13" t="b">
        <v>0</v>
      </c>
      <c r="K8" s="13" t="b">
        <v>1</v>
      </c>
      <c r="L8" s="6" t="s">
        <v>194</v>
      </c>
      <c r="M8" s="6" t="s">
        <v>89</v>
      </c>
      <c r="N8" s="6">
        <v>31</v>
      </c>
    </row>
    <row r="9" spans="1:14" ht="21">
      <c r="A9" s="6" t="s">
        <v>8</v>
      </c>
      <c r="B9" s="6" t="s">
        <v>100</v>
      </c>
      <c r="C9" s="6">
        <v>1</v>
      </c>
      <c r="D9" s="6" t="str">
        <f t="shared" si="1"/>
        <v>BESTA</v>
      </c>
      <c r="E9" s="14" t="s">
        <v>201</v>
      </c>
      <c r="F9" s="7" t="s">
        <v>67</v>
      </c>
      <c r="G9" s="6">
        <v>0</v>
      </c>
      <c r="H9" s="12">
        <v>5</v>
      </c>
      <c r="I9" s="13" t="b">
        <v>1</v>
      </c>
      <c r="J9" s="13" t="b">
        <v>1</v>
      </c>
      <c r="K9" s="13" t="b">
        <v>1</v>
      </c>
      <c r="L9" s="6" t="s">
        <v>194</v>
      </c>
      <c r="M9" s="6" t="s">
        <v>89</v>
      </c>
      <c r="N9" s="6">
        <v>51</v>
      </c>
    </row>
    <row r="10" spans="1:14" ht="21">
      <c r="A10" s="6" t="s">
        <v>9</v>
      </c>
      <c r="B10" s="6" t="s">
        <v>101</v>
      </c>
      <c r="C10" s="6">
        <v>1</v>
      </c>
      <c r="D10" s="6" t="str">
        <f t="shared" si="1"/>
        <v>BESTA</v>
      </c>
      <c r="E10" s="14" t="s">
        <v>73</v>
      </c>
      <c r="F10" s="7" t="s">
        <v>68</v>
      </c>
      <c r="G10" s="6">
        <v>1</v>
      </c>
      <c r="H10" s="12">
        <v>1</v>
      </c>
      <c r="I10" s="13" t="b">
        <v>1</v>
      </c>
      <c r="J10" s="13" t="b">
        <v>1</v>
      </c>
      <c r="K10" s="13" t="b">
        <v>1</v>
      </c>
      <c r="L10" s="6" t="s">
        <v>194</v>
      </c>
      <c r="M10" s="6" t="s">
        <v>89</v>
      </c>
      <c r="N10" s="6">
        <v>38</v>
      </c>
    </row>
    <row r="11" spans="1:14" ht="21">
      <c r="A11" s="6" t="s">
        <v>10</v>
      </c>
      <c r="B11" s="6" t="s">
        <v>102</v>
      </c>
      <c r="C11" s="6">
        <v>1</v>
      </c>
      <c r="D11" s="6" t="str">
        <f t="shared" si="1"/>
        <v>BESTA</v>
      </c>
      <c r="E11" s="14" t="s">
        <v>73</v>
      </c>
      <c r="F11" s="7" t="s">
        <v>69</v>
      </c>
      <c r="G11" s="6">
        <v>1</v>
      </c>
      <c r="H11" s="12">
        <v>1</v>
      </c>
      <c r="I11" s="13" t="b">
        <v>1</v>
      </c>
      <c r="J11" s="13" t="b">
        <v>1</v>
      </c>
      <c r="K11" s="13" t="b">
        <v>1</v>
      </c>
      <c r="L11" s="6" t="s">
        <v>194</v>
      </c>
      <c r="M11" s="6" t="s">
        <v>90</v>
      </c>
      <c r="N11" s="6">
        <v>34</v>
      </c>
    </row>
    <row r="12" spans="1:14" ht="21">
      <c r="A12" s="6" t="s">
        <v>11</v>
      </c>
      <c r="B12" s="6" t="s">
        <v>103</v>
      </c>
      <c r="C12" s="6">
        <v>1</v>
      </c>
      <c r="D12" s="6" t="str">
        <f t="shared" si="1"/>
        <v>BESTA</v>
      </c>
      <c r="E12" s="14" t="s">
        <v>200</v>
      </c>
      <c r="F12" s="7" t="s">
        <v>62</v>
      </c>
      <c r="G12" s="6">
        <v>1</v>
      </c>
      <c r="H12" s="12">
        <v>1</v>
      </c>
      <c r="I12" s="13" t="b">
        <v>1</v>
      </c>
      <c r="J12" s="13" t="b">
        <v>1</v>
      </c>
      <c r="K12" s="13" t="b">
        <v>1</v>
      </c>
      <c r="L12" s="6" t="s">
        <v>194</v>
      </c>
      <c r="M12" s="6" t="s">
        <v>90</v>
      </c>
      <c r="N12" s="6">
        <v>33</v>
      </c>
    </row>
    <row r="13" spans="1:14" ht="21">
      <c r="A13" s="6" t="s">
        <v>12</v>
      </c>
      <c r="B13" s="6" t="s">
        <v>104</v>
      </c>
      <c r="C13" s="6">
        <v>1</v>
      </c>
      <c r="D13" s="6" t="str">
        <f t="shared" si="1"/>
        <v>BESTA</v>
      </c>
      <c r="E13" s="14" t="s">
        <v>200</v>
      </c>
      <c r="F13" s="7" t="s">
        <v>64</v>
      </c>
      <c r="G13" s="6">
        <v>1</v>
      </c>
      <c r="H13" s="12">
        <v>1</v>
      </c>
      <c r="I13" s="13" t="b">
        <v>1</v>
      </c>
      <c r="J13" s="13" t="b">
        <v>1</v>
      </c>
      <c r="K13" s="13" t="b">
        <v>1</v>
      </c>
      <c r="L13" s="6" t="s">
        <v>194</v>
      </c>
      <c r="M13" s="6" t="s">
        <v>89</v>
      </c>
      <c r="N13" s="6">
        <v>37</v>
      </c>
    </row>
    <row r="14" spans="1:14" ht="21">
      <c r="A14" s="6" t="s">
        <v>13</v>
      </c>
      <c r="B14" s="6" t="s">
        <v>105</v>
      </c>
      <c r="C14" s="6">
        <v>1</v>
      </c>
      <c r="D14" s="6" t="str">
        <f t="shared" si="1"/>
        <v>BESTA</v>
      </c>
      <c r="E14" s="14" t="s">
        <v>73</v>
      </c>
      <c r="F14" s="7" t="s">
        <v>69</v>
      </c>
      <c r="G14" s="6">
        <v>1</v>
      </c>
      <c r="H14" s="12">
        <v>1</v>
      </c>
      <c r="I14" s="13" t="b">
        <v>1</v>
      </c>
      <c r="J14" s="13" t="b">
        <v>1</v>
      </c>
      <c r="K14" s="13" t="b">
        <v>1</v>
      </c>
      <c r="L14" s="6" t="s">
        <v>194</v>
      </c>
      <c r="M14" s="6" t="s">
        <v>89</v>
      </c>
      <c r="N14" s="6">
        <v>39</v>
      </c>
    </row>
    <row r="15" spans="1:14" ht="21">
      <c r="A15" s="6" t="s">
        <v>14</v>
      </c>
      <c r="B15" s="6" t="s">
        <v>106</v>
      </c>
      <c r="C15" s="6">
        <v>1</v>
      </c>
      <c r="D15" s="6" t="str">
        <f t="shared" si="1"/>
        <v>BESTA</v>
      </c>
      <c r="E15" s="14" t="s">
        <v>73</v>
      </c>
      <c r="F15" s="7" t="s">
        <v>70</v>
      </c>
      <c r="G15" s="6">
        <v>1</v>
      </c>
      <c r="H15" s="12">
        <v>1</v>
      </c>
      <c r="I15" s="13" t="b">
        <v>1</v>
      </c>
      <c r="J15" s="13" t="b">
        <v>1</v>
      </c>
      <c r="K15" s="13" t="b">
        <v>1</v>
      </c>
      <c r="L15" s="6" t="s">
        <v>195</v>
      </c>
      <c r="M15" s="6" t="s">
        <v>90</v>
      </c>
      <c r="N15" s="6">
        <v>48</v>
      </c>
    </row>
    <row r="16" spans="1:14" ht="21">
      <c r="A16" s="6" t="s">
        <v>15</v>
      </c>
      <c r="B16" s="6" t="s">
        <v>107</v>
      </c>
      <c r="C16" s="6">
        <v>1</v>
      </c>
      <c r="D16" s="6" t="str">
        <f t="shared" si="1"/>
        <v>BESTA</v>
      </c>
      <c r="E16" s="14" t="s">
        <v>73</v>
      </c>
      <c r="F16" s="7" t="s">
        <v>69</v>
      </c>
      <c r="G16" s="6">
        <v>1</v>
      </c>
      <c r="H16" s="12">
        <v>1</v>
      </c>
      <c r="I16" s="13" t="b">
        <v>1</v>
      </c>
      <c r="J16" s="13" t="b">
        <v>1</v>
      </c>
      <c r="K16" s="13" t="b">
        <v>1</v>
      </c>
      <c r="L16" s="6" t="s">
        <v>194</v>
      </c>
      <c r="M16" s="6" t="s">
        <v>89</v>
      </c>
      <c r="N16" s="6">
        <v>44</v>
      </c>
    </row>
    <row r="17" spans="1:18" ht="21">
      <c r="A17" s="6" t="s">
        <v>16</v>
      </c>
      <c r="B17" s="6" t="s">
        <v>108</v>
      </c>
      <c r="C17" s="6">
        <v>1</v>
      </c>
      <c r="D17" s="6" t="str">
        <f t="shared" si="1"/>
        <v>BESTA</v>
      </c>
      <c r="E17" s="14" t="s">
        <v>202</v>
      </c>
      <c r="F17" s="7" t="s">
        <v>71</v>
      </c>
      <c r="G17" s="6">
        <v>0</v>
      </c>
      <c r="H17" s="12">
        <v>0</v>
      </c>
      <c r="I17" s="13" t="b">
        <v>1</v>
      </c>
      <c r="J17" s="13" t="b">
        <v>0</v>
      </c>
      <c r="K17" s="13" t="b">
        <v>1</v>
      </c>
      <c r="L17" s="6" t="s">
        <v>194</v>
      </c>
      <c r="M17" s="6" t="s">
        <v>89</v>
      </c>
      <c r="N17" s="6">
        <v>43</v>
      </c>
    </row>
    <row r="18" spans="1:18" ht="21">
      <c r="A18" s="6" t="s">
        <v>17</v>
      </c>
      <c r="B18" s="6" t="s">
        <v>109</v>
      </c>
      <c r="C18" s="6">
        <v>1</v>
      </c>
      <c r="D18" s="6" t="str">
        <f t="shared" si="1"/>
        <v>BESTA</v>
      </c>
      <c r="E18" s="14" t="s">
        <v>203</v>
      </c>
      <c r="F18" s="7" t="s">
        <v>72</v>
      </c>
      <c r="G18" s="6">
        <v>0</v>
      </c>
      <c r="H18" s="12">
        <v>5</v>
      </c>
      <c r="I18" s="13" t="b">
        <v>1</v>
      </c>
      <c r="J18" s="13" t="b">
        <v>1</v>
      </c>
      <c r="K18" s="13" t="b">
        <v>1</v>
      </c>
      <c r="L18" s="6" t="s">
        <v>194</v>
      </c>
      <c r="M18" s="6" t="s">
        <v>90</v>
      </c>
      <c r="N18" s="6">
        <v>30</v>
      </c>
    </row>
    <row r="19" spans="1:18" ht="21">
      <c r="A19" s="6" t="s">
        <v>18</v>
      </c>
      <c r="B19" s="6" t="s">
        <v>110</v>
      </c>
      <c r="C19" s="6">
        <v>1</v>
      </c>
      <c r="D19" s="6" t="str">
        <f t="shared" si="1"/>
        <v>BESTA</v>
      </c>
      <c r="E19" s="14" t="s">
        <v>73</v>
      </c>
      <c r="F19" s="11" t="s">
        <v>69</v>
      </c>
      <c r="G19" s="6">
        <v>1</v>
      </c>
      <c r="H19" s="12">
        <v>1</v>
      </c>
      <c r="I19" s="13" t="b">
        <v>1</v>
      </c>
      <c r="J19" s="13" t="b">
        <v>0</v>
      </c>
      <c r="K19" s="13" t="b">
        <v>1</v>
      </c>
      <c r="L19" s="6" t="s">
        <v>194</v>
      </c>
      <c r="M19" s="6" t="s">
        <v>90</v>
      </c>
      <c r="N19" s="6">
        <v>42</v>
      </c>
    </row>
    <row r="20" spans="1:18" ht="21">
      <c r="A20" s="6" t="s">
        <v>19</v>
      </c>
      <c r="B20" s="6" t="s">
        <v>111</v>
      </c>
      <c r="C20" s="6">
        <v>1</v>
      </c>
      <c r="D20" s="6" t="str">
        <f t="shared" si="1"/>
        <v>BESTA</v>
      </c>
      <c r="E20" s="14" t="s">
        <v>202</v>
      </c>
      <c r="F20" s="11" t="s">
        <v>71</v>
      </c>
      <c r="G20" s="6">
        <v>0</v>
      </c>
      <c r="H20" s="12">
        <v>2</v>
      </c>
      <c r="I20" s="13" t="b">
        <v>1</v>
      </c>
      <c r="J20" s="13" t="b">
        <v>1</v>
      </c>
      <c r="K20" s="13" t="b">
        <v>1</v>
      </c>
      <c r="L20" s="6" t="s">
        <v>194</v>
      </c>
      <c r="M20" s="6" t="s">
        <v>89</v>
      </c>
      <c r="N20" s="6">
        <v>38</v>
      </c>
    </row>
    <row r="21" spans="1:18" ht="21">
      <c r="A21" s="6" t="s">
        <v>20</v>
      </c>
      <c r="B21" s="6" t="s">
        <v>112</v>
      </c>
      <c r="C21" s="6">
        <v>1</v>
      </c>
      <c r="D21" s="6" t="str">
        <f t="shared" si="1"/>
        <v>BESTA</v>
      </c>
      <c r="E21" s="14" t="s">
        <v>200</v>
      </c>
      <c r="F21" s="11" t="s">
        <v>62</v>
      </c>
      <c r="G21" s="6">
        <v>1</v>
      </c>
      <c r="H21" s="12">
        <v>1</v>
      </c>
      <c r="I21" s="13" t="b">
        <v>1</v>
      </c>
      <c r="J21" s="13" t="b">
        <v>1</v>
      </c>
      <c r="K21" s="13" t="b">
        <v>1</v>
      </c>
      <c r="L21" s="6" t="s">
        <v>194</v>
      </c>
      <c r="M21" s="6" t="s">
        <v>89</v>
      </c>
      <c r="N21" s="6">
        <v>56</v>
      </c>
    </row>
    <row r="22" spans="1:18" ht="21">
      <c r="A22" s="6" t="s">
        <v>21</v>
      </c>
      <c r="B22" s="11" t="s">
        <v>115</v>
      </c>
      <c r="C22" s="6">
        <v>1</v>
      </c>
      <c r="D22" s="6" t="str">
        <f t="shared" si="1"/>
        <v>NIGUARDA</v>
      </c>
      <c r="E22" s="14" t="s">
        <v>73</v>
      </c>
      <c r="F22" s="7" t="s">
        <v>73</v>
      </c>
      <c r="G22" s="6">
        <v>1</v>
      </c>
      <c r="H22" s="12">
        <v>3</v>
      </c>
      <c r="I22" s="13" t="b">
        <v>1</v>
      </c>
      <c r="J22" s="13" t="b">
        <v>1</v>
      </c>
      <c r="K22" s="13" t="b">
        <v>1</v>
      </c>
      <c r="L22" s="6" t="s">
        <v>194</v>
      </c>
      <c r="M22" s="6" t="s">
        <v>90</v>
      </c>
      <c r="N22" s="6">
        <v>36</v>
      </c>
    </row>
    <row r="23" spans="1:18" ht="21">
      <c r="A23" s="6" t="s">
        <v>22</v>
      </c>
      <c r="B23" s="6" t="s">
        <v>113</v>
      </c>
      <c r="C23" s="6">
        <v>1</v>
      </c>
      <c r="D23" s="6" t="str">
        <f t="shared" si="1"/>
        <v>NIGUARDA</v>
      </c>
      <c r="E23" s="14" t="s">
        <v>199</v>
      </c>
      <c r="F23" s="7" t="s">
        <v>75</v>
      </c>
      <c r="G23" s="6">
        <v>0</v>
      </c>
      <c r="H23" s="12">
        <v>2</v>
      </c>
      <c r="I23" s="13" t="b">
        <v>1</v>
      </c>
      <c r="J23" s="13" t="b">
        <v>1</v>
      </c>
      <c r="K23" s="13" t="b">
        <v>1</v>
      </c>
      <c r="L23" s="6" t="s">
        <v>194</v>
      </c>
      <c r="M23" s="6" t="s">
        <v>89</v>
      </c>
      <c r="N23" s="6">
        <v>28</v>
      </c>
    </row>
    <row r="24" spans="1:18" ht="21">
      <c r="A24" s="6" t="s">
        <v>23</v>
      </c>
      <c r="B24" s="6" t="s">
        <v>114</v>
      </c>
      <c r="C24" s="6">
        <v>1</v>
      </c>
      <c r="D24" s="6" t="str">
        <f t="shared" ref="D24:D30" si="2">IF(ISERROR(SEARCH("BESTA",A24)), IF(ISERROR(SEARCH("NIGUARDA",A24)), IF(ISERROR(SEARCH("PV",A24)), IF(ISERROR(SEARCH("MO",A24)), "", "MODENA"), "PAVIA"), "NIGUARDA"),"BESTA")</f>
        <v>NIGUARDA</v>
      </c>
      <c r="E24" s="14" t="s">
        <v>204</v>
      </c>
      <c r="F24" s="7" t="s">
        <v>74</v>
      </c>
      <c r="G24" s="6">
        <v>0</v>
      </c>
      <c r="H24" s="12">
        <v>1</v>
      </c>
      <c r="I24" s="13" t="b">
        <v>1</v>
      </c>
      <c r="J24" s="13" t="b">
        <v>1</v>
      </c>
      <c r="K24" s="13" t="b">
        <v>1</v>
      </c>
      <c r="L24" s="6" t="s">
        <v>194</v>
      </c>
      <c r="M24" s="6" t="s">
        <v>90</v>
      </c>
      <c r="N24" s="6">
        <v>37</v>
      </c>
    </row>
    <row r="25" spans="1:18" ht="21">
      <c r="A25" s="6" t="s">
        <v>24</v>
      </c>
      <c r="B25" s="11" t="s">
        <v>116</v>
      </c>
      <c r="C25" s="6">
        <v>1</v>
      </c>
      <c r="D25" s="6" t="str">
        <f t="shared" si="2"/>
        <v>NIGUARDA</v>
      </c>
      <c r="E25" s="14" t="s">
        <v>73</v>
      </c>
      <c r="F25" s="7" t="s">
        <v>73</v>
      </c>
      <c r="G25" s="6">
        <v>1</v>
      </c>
      <c r="H25" s="12">
        <v>1</v>
      </c>
      <c r="I25" s="13" t="b">
        <v>1</v>
      </c>
      <c r="J25" s="13" t="b">
        <v>1</v>
      </c>
      <c r="K25" s="13" t="b">
        <v>1</v>
      </c>
      <c r="L25" s="6" t="s">
        <v>194</v>
      </c>
      <c r="M25" s="6" t="s">
        <v>90</v>
      </c>
      <c r="N25" s="6">
        <v>52</v>
      </c>
      <c r="Q25" s="4" t="s">
        <v>73</v>
      </c>
      <c r="R25" s="4">
        <f>COUNTIF(E2:E108, "HS")</f>
        <v>30</v>
      </c>
    </row>
    <row r="26" spans="1:18" ht="21">
      <c r="A26" s="6" t="s">
        <v>25</v>
      </c>
      <c r="B26" s="11" t="s">
        <v>117</v>
      </c>
      <c r="C26" s="6">
        <v>1</v>
      </c>
      <c r="D26" s="6" t="str">
        <f t="shared" si="2"/>
        <v>NIGUARDA</v>
      </c>
      <c r="E26" s="14" t="s">
        <v>204</v>
      </c>
      <c r="F26" s="7" t="s">
        <v>74</v>
      </c>
      <c r="G26" s="6">
        <v>0</v>
      </c>
      <c r="H26" s="12">
        <v>0</v>
      </c>
      <c r="I26" s="13" t="b">
        <v>1</v>
      </c>
      <c r="J26" s="13" t="b">
        <v>1</v>
      </c>
      <c r="K26" s="13" t="b">
        <v>1</v>
      </c>
      <c r="L26" s="6" t="s">
        <v>194</v>
      </c>
      <c r="M26" s="6" t="s">
        <v>90</v>
      </c>
      <c r="N26" s="6">
        <v>37</v>
      </c>
      <c r="Q26" s="4" t="s">
        <v>200</v>
      </c>
      <c r="R26" s="4">
        <f>COUNTIF(E2:E108, "HS+FCDIII")</f>
        <v>8</v>
      </c>
    </row>
    <row r="27" spans="1:18" ht="21">
      <c r="A27" s="6" t="s">
        <v>26</v>
      </c>
      <c r="B27" s="11" t="s">
        <v>118</v>
      </c>
      <c r="C27" s="6">
        <v>1</v>
      </c>
      <c r="D27" s="6" t="str">
        <f t="shared" si="2"/>
        <v>NIGUARDA</v>
      </c>
      <c r="E27" s="14" t="s">
        <v>73</v>
      </c>
      <c r="F27" s="7" t="s">
        <v>76</v>
      </c>
      <c r="G27" s="6">
        <v>1</v>
      </c>
      <c r="H27" s="12">
        <v>1</v>
      </c>
      <c r="I27" s="13" t="b">
        <v>1</v>
      </c>
      <c r="J27" s="13" t="b">
        <v>1</v>
      </c>
      <c r="K27" s="13" t="b">
        <v>1</v>
      </c>
      <c r="L27" s="6" t="s">
        <v>194</v>
      </c>
      <c r="M27" s="6" t="s">
        <v>89</v>
      </c>
      <c r="N27" s="6">
        <v>49</v>
      </c>
      <c r="Q27" s="4" t="s">
        <v>202</v>
      </c>
      <c r="R27" s="4">
        <f>COUNTIF(E2:E108, "Gliosi")</f>
        <v>3</v>
      </c>
    </row>
    <row r="28" spans="1:18" ht="21">
      <c r="A28" s="6" t="s">
        <v>27</v>
      </c>
      <c r="B28" s="11" t="s">
        <v>119</v>
      </c>
      <c r="C28" s="6">
        <v>1</v>
      </c>
      <c r="D28" s="6" t="str">
        <f t="shared" si="2"/>
        <v>NIGUARDA</v>
      </c>
      <c r="E28" s="14" t="s">
        <v>73</v>
      </c>
      <c r="F28" s="7" t="s">
        <v>77</v>
      </c>
      <c r="G28" s="6">
        <v>1</v>
      </c>
      <c r="H28" s="12">
        <v>1</v>
      </c>
      <c r="I28" s="13" t="b">
        <v>1</v>
      </c>
      <c r="J28" s="13" t="b">
        <v>1</v>
      </c>
      <c r="K28" s="13" t="b">
        <v>1</v>
      </c>
      <c r="L28" s="6" t="s">
        <v>194</v>
      </c>
      <c r="M28" s="6" t="s">
        <v>90</v>
      </c>
      <c r="N28" s="6">
        <v>43</v>
      </c>
      <c r="Q28" s="4" t="s">
        <v>255</v>
      </c>
      <c r="R28" s="4">
        <f>COUNTIF(E2:E108, "Cripto")</f>
        <v>8</v>
      </c>
    </row>
    <row r="29" spans="1:18" ht="21">
      <c r="A29" s="6" t="s">
        <v>28</v>
      </c>
      <c r="B29" s="11" t="s">
        <v>120</v>
      </c>
      <c r="C29" s="6">
        <v>1</v>
      </c>
      <c r="D29" s="6" t="str">
        <f t="shared" si="2"/>
        <v>NIGUARDA</v>
      </c>
      <c r="E29" s="14" t="s">
        <v>204</v>
      </c>
      <c r="F29" s="7" t="s">
        <v>74</v>
      </c>
      <c r="G29" s="6">
        <v>0</v>
      </c>
      <c r="H29" s="12">
        <v>2</v>
      </c>
      <c r="I29" s="13" t="b">
        <v>1</v>
      </c>
      <c r="J29" s="13" t="b">
        <v>1</v>
      </c>
      <c r="K29" s="13" t="b">
        <v>1</v>
      </c>
      <c r="L29" s="6" t="s">
        <v>194</v>
      </c>
      <c r="M29" s="6" t="s">
        <v>90</v>
      </c>
      <c r="N29" s="6">
        <v>38</v>
      </c>
      <c r="Q29" s="4" t="s">
        <v>256</v>
      </c>
      <c r="R29" s="4">
        <f>COUNTIF(E2:E108, "FCDII")+COUNTIF(E2:E108, "FCDI")</f>
        <v>6</v>
      </c>
    </row>
    <row r="30" spans="1:18" ht="21">
      <c r="A30" s="6" t="s">
        <v>29</v>
      </c>
      <c r="B30" s="11" t="s">
        <v>121</v>
      </c>
      <c r="C30" s="6">
        <v>1</v>
      </c>
      <c r="D30" s="6" t="str">
        <f t="shared" si="2"/>
        <v>NIGUARDA</v>
      </c>
      <c r="E30" s="14" t="s">
        <v>204</v>
      </c>
      <c r="F30" s="7" t="s">
        <v>74</v>
      </c>
      <c r="G30" s="6">
        <v>0</v>
      </c>
      <c r="H30" s="12">
        <v>2</v>
      </c>
      <c r="I30" s="13" t="b">
        <v>1</v>
      </c>
      <c r="J30" s="13" t="b">
        <v>1</v>
      </c>
      <c r="K30" s="13" t="b">
        <v>1</v>
      </c>
      <c r="L30" s="6" t="s">
        <v>194</v>
      </c>
      <c r="M30" s="6" t="s">
        <v>90</v>
      </c>
      <c r="N30" s="6">
        <v>29</v>
      </c>
      <c r="Q30" s="4" t="s">
        <v>257</v>
      </c>
      <c r="R30" s="4">
        <f>COUNTIF(E2:E108, "Infiltrati")</f>
        <v>3</v>
      </c>
    </row>
    <row r="31" spans="1:18" ht="21">
      <c r="A31" s="6" t="s">
        <v>30</v>
      </c>
      <c r="B31" s="11" t="s">
        <v>122</v>
      </c>
      <c r="C31" s="6">
        <v>1</v>
      </c>
      <c r="D31" s="6" t="str">
        <f t="shared" ref="D31:D43" si="3">IF(ISERROR(SEARCH("BESTA",A31)), IF(ISERROR(SEARCH("NIGUARDA",A31)), IF(ISERROR(SEARCH("PV",A31)), IF(ISERROR(SEARCH("MO",A31)), "", "MODENA"), "PAVIA"), "NIGUARDA"),"BESTA")</f>
        <v>NIGUARDA</v>
      </c>
      <c r="E31" s="14" t="s">
        <v>201</v>
      </c>
      <c r="F31" s="7" t="s">
        <v>78</v>
      </c>
      <c r="G31" s="6">
        <v>0</v>
      </c>
      <c r="H31" s="12">
        <v>5</v>
      </c>
      <c r="I31" s="13" t="b">
        <v>1</v>
      </c>
      <c r="J31" s="13" t="b">
        <v>1</v>
      </c>
      <c r="K31" s="13" t="b">
        <v>1</v>
      </c>
      <c r="L31" s="6" t="s">
        <v>194</v>
      </c>
      <c r="M31" s="6" t="s">
        <v>89</v>
      </c>
      <c r="N31" s="6">
        <v>33</v>
      </c>
    </row>
    <row r="32" spans="1:18" ht="21">
      <c r="A32" s="6" t="s">
        <v>31</v>
      </c>
      <c r="B32" s="11" t="s">
        <v>123</v>
      </c>
      <c r="C32" s="6">
        <v>1</v>
      </c>
      <c r="D32" s="6" t="str">
        <f t="shared" si="3"/>
        <v>NIGUARDA</v>
      </c>
      <c r="E32" s="14" t="s">
        <v>73</v>
      </c>
      <c r="F32" s="7" t="s">
        <v>73</v>
      </c>
      <c r="G32" s="6">
        <v>1</v>
      </c>
      <c r="H32" s="12">
        <v>2</v>
      </c>
      <c r="I32" s="13" t="b">
        <v>1</v>
      </c>
      <c r="J32" s="13" t="b">
        <v>1</v>
      </c>
      <c r="K32" s="13" t="b">
        <v>1</v>
      </c>
      <c r="L32" s="6" t="s">
        <v>194</v>
      </c>
      <c r="M32" s="6" t="s">
        <v>89</v>
      </c>
      <c r="N32" s="6">
        <v>16</v>
      </c>
    </row>
    <row r="33" spans="1:14" ht="21">
      <c r="A33" s="6" t="s">
        <v>32</v>
      </c>
      <c r="B33" s="11" t="s">
        <v>124</v>
      </c>
      <c r="C33" s="6">
        <v>1</v>
      </c>
      <c r="D33" s="6" t="str">
        <f t="shared" si="3"/>
        <v>NIGUARDA</v>
      </c>
      <c r="E33" s="14" t="s">
        <v>73</v>
      </c>
      <c r="F33" s="7" t="s">
        <v>77</v>
      </c>
      <c r="G33" s="6">
        <v>1</v>
      </c>
      <c r="H33" s="12">
        <v>1</v>
      </c>
      <c r="I33" s="13" t="b">
        <v>1</v>
      </c>
      <c r="J33" s="13" t="b">
        <v>1</v>
      </c>
      <c r="K33" s="13" t="b">
        <v>1</v>
      </c>
      <c r="L33" s="6" t="s">
        <v>194</v>
      </c>
      <c r="M33" s="6" t="s">
        <v>89</v>
      </c>
      <c r="N33" s="6">
        <v>42</v>
      </c>
    </row>
    <row r="34" spans="1:14" ht="21">
      <c r="A34" s="6" t="s">
        <v>33</v>
      </c>
      <c r="B34" s="11" t="s">
        <v>125</v>
      </c>
      <c r="C34" s="6">
        <v>1</v>
      </c>
      <c r="D34" s="6" t="str">
        <f t="shared" si="3"/>
        <v>NIGUARDA</v>
      </c>
      <c r="E34" s="14" t="s">
        <v>204</v>
      </c>
      <c r="F34" s="7" t="s">
        <v>74</v>
      </c>
      <c r="G34" s="6">
        <v>0</v>
      </c>
      <c r="H34" s="12">
        <v>1</v>
      </c>
      <c r="I34" s="13" t="b">
        <v>1</v>
      </c>
      <c r="J34" s="13" t="b">
        <v>1</v>
      </c>
      <c r="K34" s="13" t="b">
        <v>1</v>
      </c>
      <c r="L34" s="6" t="s">
        <v>194</v>
      </c>
      <c r="M34" s="6" t="s">
        <v>89</v>
      </c>
      <c r="N34" s="6">
        <v>27</v>
      </c>
    </row>
    <row r="35" spans="1:14" ht="21">
      <c r="A35" s="6" t="s">
        <v>34</v>
      </c>
      <c r="B35" s="11" t="s">
        <v>126</v>
      </c>
      <c r="C35" s="6">
        <v>1</v>
      </c>
      <c r="D35" s="6" t="str">
        <f t="shared" si="3"/>
        <v>NIGUARDA</v>
      </c>
      <c r="E35" s="14" t="s">
        <v>73</v>
      </c>
      <c r="F35" s="7" t="s">
        <v>77</v>
      </c>
      <c r="G35" s="6">
        <v>1</v>
      </c>
      <c r="H35" s="12">
        <v>1</v>
      </c>
      <c r="I35" s="13" t="b">
        <v>1</v>
      </c>
      <c r="J35" s="13" t="b">
        <v>1</v>
      </c>
      <c r="K35" s="13" t="b">
        <v>1</v>
      </c>
      <c r="L35" s="6" t="s">
        <v>194</v>
      </c>
      <c r="M35" s="6" t="s">
        <v>89</v>
      </c>
      <c r="N35" s="6">
        <v>44</v>
      </c>
    </row>
    <row r="36" spans="1:14" ht="21">
      <c r="A36" s="6" t="s">
        <v>35</v>
      </c>
      <c r="B36" s="11" t="s">
        <v>127</v>
      </c>
      <c r="C36" s="6">
        <v>1</v>
      </c>
      <c r="D36" s="6" t="str">
        <f t="shared" si="3"/>
        <v>NIGUARDA</v>
      </c>
      <c r="E36" s="14" t="s">
        <v>73</v>
      </c>
      <c r="F36" s="7" t="s">
        <v>77</v>
      </c>
      <c r="G36" s="6">
        <v>1</v>
      </c>
      <c r="H36" s="12">
        <v>1</v>
      </c>
      <c r="I36" s="13" t="b">
        <v>1</v>
      </c>
      <c r="J36" s="13" t="b">
        <v>1</v>
      </c>
      <c r="K36" s="13" t="b">
        <v>1</v>
      </c>
      <c r="L36" s="6" t="s">
        <v>194</v>
      </c>
      <c r="M36" s="6" t="s">
        <v>89</v>
      </c>
      <c r="N36" s="6">
        <v>51</v>
      </c>
    </row>
    <row r="37" spans="1:14" ht="21">
      <c r="A37" s="6" t="s">
        <v>36</v>
      </c>
      <c r="B37" s="11" t="s">
        <v>128</v>
      </c>
      <c r="C37" s="6">
        <v>1</v>
      </c>
      <c r="D37" s="6" t="str">
        <f t="shared" si="3"/>
        <v>NIGUARDA</v>
      </c>
      <c r="E37" s="14" t="s">
        <v>199</v>
      </c>
      <c r="F37" s="7" t="s">
        <v>79</v>
      </c>
      <c r="G37" s="6">
        <v>0</v>
      </c>
      <c r="H37" s="12">
        <v>2</v>
      </c>
      <c r="I37" s="13" t="b">
        <v>1</v>
      </c>
      <c r="J37" s="13" t="b">
        <v>1</v>
      </c>
      <c r="K37" s="13" t="b">
        <v>1</v>
      </c>
      <c r="L37" s="6" t="s">
        <v>194</v>
      </c>
      <c r="M37" s="6" t="s">
        <v>90</v>
      </c>
      <c r="N37" s="6">
        <v>52</v>
      </c>
    </row>
    <row r="38" spans="1:14" ht="21">
      <c r="A38" s="6" t="s">
        <v>37</v>
      </c>
      <c r="B38" s="11" t="s">
        <v>129</v>
      </c>
      <c r="C38" s="6">
        <v>1</v>
      </c>
      <c r="D38" s="6" t="str">
        <f t="shared" si="3"/>
        <v>NIGUARDA</v>
      </c>
      <c r="E38" s="14" t="s">
        <v>73</v>
      </c>
      <c r="F38" s="7" t="s">
        <v>77</v>
      </c>
      <c r="G38" s="6">
        <v>1</v>
      </c>
      <c r="H38" s="12">
        <v>1</v>
      </c>
      <c r="I38" s="13" t="b">
        <v>1</v>
      </c>
      <c r="J38" s="13" t="b">
        <v>0</v>
      </c>
      <c r="K38" s="13" t="b">
        <v>1</v>
      </c>
      <c r="L38" s="6" t="s">
        <v>194</v>
      </c>
      <c r="M38" s="6" t="s">
        <v>89</v>
      </c>
      <c r="N38" s="6">
        <v>18</v>
      </c>
    </row>
    <row r="39" spans="1:14" ht="21">
      <c r="A39" s="6" t="s">
        <v>38</v>
      </c>
      <c r="B39" s="11" t="s">
        <v>130</v>
      </c>
      <c r="C39" s="6">
        <v>1</v>
      </c>
      <c r="D39" s="6" t="str">
        <f t="shared" si="3"/>
        <v>NIGUARDA</v>
      </c>
      <c r="E39" s="14" t="s">
        <v>73</v>
      </c>
      <c r="F39" s="7" t="s">
        <v>77</v>
      </c>
      <c r="G39" s="6">
        <v>1</v>
      </c>
      <c r="H39" s="12">
        <v>1</v>
      </c>
      <c r="I39" s="13" t="b">
        <v>1</v>
      </c>
      <c r="J39" s="13" t="b">
        <v>0</v>
      </c>
      <c r="K39" s="13" t="b">
        <v>1</v>
      </c>
      <c r="L39" s="6" t="s">
        <v>194</v>
      </c>
      <c r="M39" s="6" t="s">
        <v>89</v>
      </c>
      <c r="N39" s="6">
        <v>41</v>
      </c>
    </row>
    <row r="40" spans="1:14" ht="21">
      <c r="A40" s="6" t="s">
        <v>39</v>
      </c>
      <c r="B40" s="11" t="s">
        <v>131</v>
      </c>
      <c r="C40" s="6">
        <v>1</v>
      </c>
      <c r="D40" s="6" t="str">
        <f t="shared" si="3"/>
        <v>NIGUARDA</v>
      </c>
      <c r="E40" s="14" t="s">
        <v>204</v>
      </c>
      <c r="F40" s="7" t="s">
        <v>74</v>
      </c>
      <c r="G40" s="6">
        <v>0</v>
      </c>
      <c r="H40" s="12">
        <v>0</v>
      </c>
      <c r="I40" s="13" t="b">
        <v>1</v>
      </c>
      <c r="J40" s="13" t="b">
        <v>1</v>
      </c>
      <c r="K40" s="13" t="b">
        <v>1</v>
      </c>
      <c r="L40" s="6" t="s">
        <v>194</v>
      </c>
      <c r="M40" s="6" t="s">
        <v>90</v>
      </c>
      <c r="N40" s="6">
        <v>48</v>
      </c>
    </row>
    <row r="41" spans="1:14" ht="21">
      <c r="A41" s="6" t="s">
        <v>40</v>
      </c>
      <c r="B41" s="11" t="s">
        <v>132</v>
      </c>
      <c r="C41" s="6">
        <v>1</v>
      </c>
      <c r="D41" s="6" t="str">
        <f t="shared" si="3"/>
        <v>NIGUARDA</v>
      </c>
      <c r="E41" s="14" t="s">
        <v>73</v>
      </c>
      <c r="F41" s="7" t="s">
        <v>77</v>
      </c>
      <c r="G41" s="6">
        <v>1</v>
      </c>
      <c r="H41" s="12">
        <v>1</v>
      </c>
      <c r="I41" s="13" t="b">
        <v>1</v>
      </c>
      <c r="J41" s="13" t="b">
        <v>1</v>
      </c>
      <c r="K41" s="13" t="b">
        <v>1</v>
      </c>
      <c r="L41" s="6" t="s">
        <v>194</v>
      </c>
      <c r="M41" s="6" t="s">
        <v>90</v>
      </c>
      <c r="N41" s="6">
        <v>41</v>
      </c>
    </row>
    <row r="42" spans="1:14" ht="21">
      <c r="A42" s="6" t="s">
        <v>41</v>
      </c>
      <c r="B42" s="11" t="s">
        <v>133</v>
      </c>
      <c r="C42" s="6">
        <v>1</v>
      </c>
      <c r="D42" s="6" t="str">
        <f t="shared" si="3"/>
        <v>NIGUARDA</v>
      </c>
      <c r="E42" s="14" t="s">
        <v>203</v>
      </c>
      <c r="F42" s="7" t="s">
        <v>80</v>
      </c>
      <c r="G42" s="6">
        <v>0</v>
      </c>
      <c r="H42" s="12">
        <v>0</v>
      </c>
      <c r="I42" s="13" t="b">
        <v>1</v>
      </c>
      <c r="J42" s="13" t="b">
        <v>0</v>
      </c>
      <c r="K42" s="13" t="b">
        <v>1</v>
      </c>
      <c r="L42" s="6" t="s">
        <v>194</v>
      </c>
      <c r="M42" s="6" t="s">
        <v>90</v>
      </c>
      <c r="N42" s="6">
        <v>43</v>
      </c>
    </row>
    <row r="43" spans="1:14" ht="21">
      <c r="A43" s="6" t="s">
        <v>42</v>
      </c>
      <c r="B43" s="11" t="s">
        <v>134</v>
      </c>
      <c r="C43" s="6">
        <v>1</v>
      </c>
      <c r="D43" s="6" t="str">
        <f t="shared" si="3"/>
        <v>NIGUARDA</v>
      </c>
      <c r="E43" s="14" t="s">
        <v>201</v>
      </c>
      <c r="F43" s="7" t="s">
        <v>81</v>
      </c>
      <c r="G43" s="6">
        <v>0</v>
      </c>
      <c r="H43" s="12">
        <v>5</v>
      </c>
      <c r="I43" s="13" t="b">
        <v>1</v>
      </c>
      <c r="J43" s="13" t="b">
        <v>0</v>
      </c>
      <c r="K43" s="13" t="b">
        <v>1</v>
      </c>
      <c r="L43" s="6" t="s">
        <v>194</v>
      </c>
      <c r="M43" s="6" t="s">
        <v>89</v>
      </c>
      <c r="N43" s="6">
        <v>27</v>
      </c>
    </row>
    <row r="44" spans="1:14" ht="21">
      <c r="A44" s="6" t="s">
        <v>43</v>
      </c>
      <c r="B44" s="11" t="s">
        <v>135</v>
      </c>
      <c r="C44" s="6">
        <v>1</v>
      </c>
      <c r="D44" s="6" t="str">
        <f>IF(ISERROR(SEARCH("BESTA",A44)), IF(ISERROR(SEARCH("NIGUARDA",A44)), IF(ISERROR(SEARCH("PV",A44)), IF(ISERROR(SEARCH("MO",A44)), "", "MODENA"), "PAVIA"), "NIGUARDA"),"BESTA")</f>
        <v>NIGUARDA</v>
      </c>
      <c r="E44" s="14" t="s">
        <v>73</v>
      </c>
      <c r="F44" s="7" t="s">
        <v>77</v>
      </c>
      <c r="G44" s="6">
        <v>1</v>
      </c>
      <c r="H44" s="12">
        <v>5</v>
      </c>
      <c r="I44" s="13" t="b">
        <v>1</v>
      </c>
      <c r="J44" s="13" t="b">
        <v>1</v>
      </c>
      <c r="K44" s="13" t="b">
        <v>1</v>
      </c>
      <c r="L44" s="6" t="s">
        <v>194</v>
      </c>
      <c r="M44" s="6" t="s">
        <v>90</v>
      </c>
      <c r="N44" s="6">
        <v>45</v>
      </c>
    </row>
    <row r="45" spans="1:14" ht="21">
      <c r="A45" s="6" t="s">
        <v>44</v>
      </c>
      <c r="B45" s="11" t="s">
        <v>136</v>
      </c>
      <c r="C45" s="6">
        <v>1</v>
      </c>
      <c r="D45" s="6" t="str">
        <f>IF(ISERROR(SEARCH("BESTA",A45)), IF(ISERROR(SEARCH("NIGUARDA",A45)), IF(ISERROR(SEARCH("PV",A45)), IF(ISERROR(SEARCH("MO",A45)), "", "MODENA"), "PAVIA"), "NIGUARDA"),"BESTA")</f>
        <v>NIGUARDA</v>
      </c>
      <c r="E45" s="14" t="s">
        <v>204</v>
      </c>
      <c r="F45" s="7" t="s">
        <v>74</v>
      </c>
      <c r="G45" s="6">
        <v>0</v>
      </c>
      <c r="H45" s="12" t="s">
        <v>197</v>
      </c>
      <c r="I45" s="13" t="b">
        <v>1</v>
      </c>
      <c r="J45" s="13" t="b">
        <v>1</v>
      </c>
      <c r="K45" s="13" t="b">
        <v>1</v>
      </c>
      <c r="L45" s="6" t="s">
        <v>194</v>
      </c>
      <c r="M45" s="6" t="s">
        <v>89</v>
      </c>
      <c r="N45" s="6">
        <v>37</v>
      </c>
    </row>
    <row r="46" spans="1:14" ht="21">
      <c r="A46" s="6" t="s">
        <v>45</v>
      </c>
      <c r="B46" s="11" t="s">
        <v>137</v>
      </c>
      <c r="C46" s="6">
        <v>1</v>
      </c>
      <c r="D46" s="6" t="str">
        <f t="shared" ref="D46:D50" si="4">IF(ISERROR(SEARCH("BESTA",A46)), IF(ISERROR(SEARCH("NIGUARDA",A46)), IF(ISERROR(SEARCH("PV",A46)), IF(ISERROR(SEARCH("MO",A46)), "", "MODENA"), "PAVIA"), "NIGUARDA"),"BESTA")</f>
        <v>NIGUARDA</v>
      </c>
      <c r="E46" s="14" t="s">
        <v>73</v>
      </c>
      <c r="F46" s="7" t="s">
        <v>77</v>
      </c>
      <c r="G46" s="6">
        <v>1</v>
      </c>
      <c r="H46" s="12">
        <v>1</v>
      </c>
      <c r="I46" s="13" t="b">
        <v>1</v>
      </c>
      <c r="J46" s="13" t="b">
        <v>0</v>
      </c>
      <c r="K46" s="13" t="b">
        <v>1</v>
      </c>
      <c r="L46" s="6" t="s">
        <v>194</v>
      </c>
      <c r="M46" s="6" t="s">
        <v>89</v>
      </c>
      <c r="N46" s="6">
        <v>38</v>
      </c>
    </row>
    <row r="47" spans="1:14" ht="21">
      <c r="A47" s="6" t="s">
        <v>46</v>
      </c>
      <c r="B47" s="11" t="s">
        <v>138</v>
      </c>
      <c r="C47" s="6">
        <v>1</v>
      </c>
      <c r="D47" s="6" t="str">
        <f t="shared" si="4"/>
        <v>NIGUARDA</v>
      </c>
      <c r="E47" s="14" t="s">
        <v>73</v>
      </c>
      <c r="F47" s="7" t="s">
        <v>82</v>
      </c>
      <c r="G47" s="6">
        <v>1</v>
      </c>
      <c r="H47" s="12">
        <v>1</v>
      </c>
      <c r="I47" s="13" t="b">
        <v>1</v>
      </c>
      <c r="J47" s="13" t="b">
        <v>1</v>
      </c>
      <c r="K47" s="13" t="b">
        <v>1</v>
      </c>
      <c r="L47" s="6" t="s">
        <v>194</v>
      </c>
      <c r="M47" s="6" t="s">
        <v>90</v>
      </c>
      <c r="N47" s="6">
        <v>24</v>
      </c>
    </row>
    <row r="48" spans="1:14" ht="21">
      <c r="A48" s="6" t="s">
        <v>47</v>
      </c>
      <c r="B48" s="11" t="s">
        <v>139</v>
      </c>
      <c r="C48" s="6">
        <v>1</v>
      </c>
      <c r="D48" s="6" t="str">
        <f t="shared" si="4"/>
        <v>NIGUARDA</v>
      </c>
      <c r="E48" s="14" t="s">
        <v>73</v>
      </c>
      <c r="F48" s="7" t="s">
        <v>77</v>
      </c>
      <c r="G48" s="6">
        <v>1</v>
      </c>
      <c r="H48" s="12">
        <v>1</v>
      </c>
      <c r="I48" s="13" t="b">
        <v>1</v>
      </c>
      <c r="J48" s="13" t="b">
        <v>1</v>
      </c>
      <c r="K48" s="13" t="b">
        <v>1</v>
      </c>
      <c r="L48" s="6" t="s">
        <v>194</v>
      </c>
      <c r="M48" s="6" t="s">
        <v>89</v>
      </c>
      <c r="N48" s="6">
        <v>48</v>
      </c>
    </row>
    <row r="49" spans="1:14" ht="21">
      <c r="A49" s="6" t="s">
        <v>48</v>
      </c>
      <c r="B49" s="11" t="s">
        <v>140</v>
      </c>
      <c r="C49" s="6">
        <v>1</v>
      </c>
      <c r="D49" s="6" t="str">
        <f t="shared" si="4"/>
        <v>NIGUARDA</v>
      </c>
      <c r="E49" s="14" t="s">
        <v>204</v>
      </c>
      <c r="F49" s="7" t="s">
        <v>74</v>
      </c>
      <c r="G49" s="6">
        <v>0</v>
      </c>
      <c r="H49" s="12">
        <v>2</v>
      </c>
      <c r="I49" s="13" t="b">
        <v>1</v>
      </c>
      <c r="J49" s="13" t="b">
        <v>1</v>
      </c>
      <c r="K49" s="13" t="b">
        <v>1</v>
      </c>
      <c r="L49" s="6" t="s">
        <v>194</v>
      </c>
      <c r="M49" s="6" t="s">
        <v>90</v>
      </c>
      <c r="N49" s="6">
        <v>48</v>
      </c>
    </row>
    <row r="50" spans="1:14" ht="21">
      <c r="A50" s="6" t="s">
        <v>49</v>
      </c>
      <c r="B50" s="11" t="s">
        <v>141</v>
      </c>
      <c r="C50" s="6">
        <v>1</v>
      </c>
      <c r="D50" s="6" t="str">
        <f t="shared" si="4"/>
        <v>NIGUARDA</v>
      </c>
      <c r="E50" s="14" t="s">
        <v>73</v>
      </c>
      <c r="F50" s="7" t="s">
        <v>77</v>
      </c>
      <c r="G50" s="6">
        <v>1</v>
      </c>
      <c r="H50" s="12">
        <v>1</v>
      </c>
      <c r="I50" s="13" t="b">
        <v>1</v>
      </c>
      <c r="J50" s="13" t="b">
        <v>1</v>
      </c>
      <c r="K50" s="13" t="b">
        <v>1</v>
      </c>
      <c r="L50" s="6" t="s">
        <v>194</v>
      </c>
      <c r="M50" s="6" t="s">
        <v>89</v>
      </c>
      <c r="N50" s="6">
        <v>34</v>
      </c>
    </row>
    <row r="51" spans="1:14" ht="21">
      <c r="A51" s="6" t="s">
        <v>50</v>
      </c>
      <c r="B51" s="11" t="s">
        <v>87</v>
      </c>
      <c r="C51" s="6">
        <v>1</v>
      </c>
      <c r="D51" s="6" t="str">
        <f t="shared" ref="D51:D59" si="5">IF(ISERROR(SEARCH("BESTA",A51)), IF(ISERROR(SEARCH("NIGUARDA",A51)), IF(ISERROR(SEARCH("PV",A51)), IF(ISERROR(SEARCH("MO",A51)), "", "MODENA"), "PAVIA"), "NIGUARDA"),"BESTA")</f>
        <v>MODENA</v>
      </c>
      <c r="E51" s="14" t="s">
        <v>73</v>
      </c>
      <c r="F51" s="7" t="s">
        <v>63</v>
      </c>
      <c r="G51" s="6">
        <v>1</v>
      </c>
      <c r="H51" s="6">
        <v>1</v>
      </c>
      <c r="I51" s="13" t="b">
        <v>1</v>
      </c>
      <c r="J51" s="13" t="b">
        <v>0</v>
      </c>
      <c r="K51" s="13" t="b">
        <v>1</v>
      </c>
      <c r="L51" s="6" t="s">
        <v>194</v>
      </c>
      <c r="M51" s="6" t="s">
        <v>89</v>
      </c>
      <c r="N51" s="6">
        <v>25</v>
      </c>
    </row>
    <row r="52" spans="1:14" ht="21">
      <c r="A52" s="6" t="s">
        <v>51</v>
      </c>
      <c r="B52" s="11" t="s">
        <v>87</v>
      </c>
      <c r="C52" s="6">
        <v>1</v>
      </c>
      <c r="D52" s="6" t="str">
        <f t="shared" si="5"/>
        <v>MODENA</v>
      </c>
      <c r="E52" s="14" t="s">
        <v>73</v>
      </c>
      <c r="F52" s="7" t="s">
        <v>63</v>
      </c>
      <c r="G52" s="6">
        <v>1</v>
      </c>
      <c r="H52" s="6" t="s">
        <v>198</v>
      </c>
      <c r="I52" s="13" t="b">
        <v>1</v>
      </c>
      <c r="J52" s="13" t="b">
        <v>0</v>
      </c>
      <c r="K52" s="13" t="b">
        <v>1</v>
      </c>
      <c r="L52" s="6" t="s">
        <v>194</v>
      </c>
      <c r="M52" s="6" t="s">
        <v>90</v>
      </c>
      <c r="N52" s="6">
        <v>51</v>
      </c>
    </row>
    <row r="53" spans="1:14" ht="21">
      <c r="A53" s="6" t="s">
        <v>52</v>
      </c>
      <c r="B53" s="11" t="s">
        <v>87</v>
      </c>
      <c r="C53" s="6">
        <v>1</v>
      </c>
      <c r="D53" s="6" t="str">
        <f t="shared" si="5"/>
        <v>MODENA</v>
      </c>
      <c r="E53" s="14" t="s">
        <v>202</v>
      </c>
      <c r="F53" s="7" t="s">
        <v>71</v>
      </c>
      <c r="G53" s="6">
        <v>0</v>
      </c>
      <c r="H53" s="6">
        <v>1</v>
      </c>
      <c r="I53" s="13" t="b">
        <v>1</v>
      </c>
      <c r="J53" s="13" t="b">
        <v>0</v>
      </c>
      <c r="K53" s="13" t="b">
        <v>1</v>
      </c>
      <c r="L53" s="6" t="s">
        <v>194</v>
      </c>
      <c r="M53" s="6" t="s">
        <v>90</v>
      </c>
      <c r="N53" s="6">
        <v>25</v>
      </c>
    </row>
    <row r="54" spans="1:14" ht="21">
      <c r="A54" s="6" t="s">
        <v>53</v>
      </c>
      <c r="B54" s="11" t="s">
        <v>87</v>
      </c>
      <c r="C54" s="6">
        <v>1</v>
      </c>
      <c r="D54" s="6" t="str">
        <f t="shared" si="5"/>
        <v>MODENA</v>
      </c>
      <c r="E54" s="14" t="s">
        <v>73</v>
      </c>
      <c r="F54" s="7" t="s">
        <v>73</v>
      </c>
      <c r="G54" s="6">
        <v>1</v>
      </c>
      <c r="H54" s="6">
        <v>1</v>
      </c>
      <c r="I54" s="13" t="b">
        <v>1</v>
      </c>
      <c r="J54" s="13" t="b">
        <v>0</v>
      </c>
      <c r="K54" s="13" t="b">
        <v>1</v>
      </c>
      <c r="L54" s="6" t="s">
        <v>194</v>
      </c>
      <c r="M54" s="6" t="s">
        <v>89</v>
      </c>
      <c r="N54" s="6">
        <v>29</v>
      </c>
    </row>
    <row r="55" spans="1:14" ht="21">
      <c r="A55" s="6" t="s">
        <v>54</v>
      </c>
      <c r="B55" s="11" t="s">
        <v>87</v>
      </c>
      <c r="C55" s="6">
        <v>1</v>
      </c>
      <c r="D55" s="6" t="str">
        <f t="shared" si="5"/>
        <v>MODENA</v>
      </c>
      <c r="E55" s="14" t="s">
        <v>73</v>
      </c>
      <c r="F55" s="7" t="s">
        <v>63</v>
      </c>
      <c r="G55" s="6">
        <v>1</v>
      </c>
      <c r="H55" s="6">
        <v>1</v>
      </c>
      <c r="I55" s="13" t="b">
        <v>1</v>
      </c>
      <c r="J55" s="13" t="b">
        <v>0</v>
      </c>
      <c r="K55" s="13" t="b">
        <v>1</v>
      </c>
      <c r="L55" s="6" t="s">
        <v>194</v>
      </c>
      <c r="M55" s="6" t="s">
        <v>90</v>
      </c>
      <c r="N55" s="6">
        <v>29</v>
      </c>
    </row>
    <row r="56" spans="1:14" ht="21">
      <c r="A56" s="6" t="s">
        <v>55</v>
      </c>
      <c r="B56" s="11" t="s">
        <v>87</v>
      </c>
      <c r="C56" s="6">
        <v>1</v>
      </c>
      <c r="D56" s="6" t="str">
        <f t="shared" si="5"/>
        <v>MODENA</v>
      </c>
      <c r="E56" s="14" t="s">
        <v>200</v>
      </c>
      <c r="F56" s="7" t="s">
        <v>83</v>
      </c>
      <c r="G56" s="6">
        <v>1</v>
      </c>
      <c r="H56" s="6">
        <v>1</v>
      </c>
      <c r="I56" s="13" t="b">
        <v>1</v>
      </c>
      <c r="J56" s="13" t="b">
        <v>0</v>
      </c>
      <c r="K56" s="13" t="b">
        <v>1</v>
      </c>
      <c r="L56" s="6" t="s">
        <v>194</v>
      </c>
      <c r="M56" s="6" t="s">
        <v>90</v>
      </c>
      <c r="N56" s="6">
        <v>29</v>
      </c>
    </row>
    <row r="57" spans="1:14" ht="21">
      <c r="A57" s="6" t="s">
        <v>56</v>
      </c>
      <c r="B57" s="11" t="s">
        <v>87</v>
      </c>
      <c r="C57" s="6">
        <v>1</v>
      </c>
      <c r="D57" s="6" t="str">
        <f t="shared" si="5"/>
        <v>MODENA</v>
      </c>
      <c r="E57" s="14" t="s">
        <v>203</v>
      </c>
      <c r="F57" s="7" t="s">
        <v>84</v>
      </c>
      <c r="G57" s="6">
        <v>0</v>
      </c>
      <c r="H57" s="6">
        <v>1</v>
      </c>
      <c r="I57" s="13" t="b">
        <v>1</v>
      </c>
      <c r="J57" s="13" t="b">
        <v>0</v>
      </c>
      <c r="K57" s="13" t="b">
        <v>1</v>
      </c>
      <c r="L57" s="6" t="s">
        <v>194</v>
      </c>
      <c r="M57" s="6" t="s">
        <v>90</v>
      </c>
      <c r="N57" s="6">
        <v>19</v>
      </c>
    </row>
    <row r="58" spans="1:14" ht="21">
      <c r="A58" s="6" t="s">
        <v>57</v>
      </c>
      <c r="B58" s="11" t="s">
        <v>87</v>
      </c>
      <c r="C58" s="6">
        <v>1</v>
      </c>
      <c r="D58" s="6" t="str">
        <f t="shared" si="5"/>
        <v>MODENA</v>
      </c>
      <c r="E58" s="14" t="s">
        <v>73</v>
      </c>
      <c r="F58" s="7" t="s">
        <v>63</v>
      </c>
      <c r="G58" s="6">
        <v>1</v>
      </c>
      <c r="H58" s="6">
        <v>1</v>
      </c>
      <c r="I58" s="13" t="b">
        <v>1</v>
      </c>
      <c r="J58" s="13" t="b">
        <v>0</v>
      </c>
      <c r="K58" s="13" t="b">
        <v>1</v>
      </c>
      <c r="L58" s="6" t="s">
        <v>194</v>
      </c>
      <c r="M58" s="6" t="s">
        <v>89</v>
      </c>
      <c r="N58" s="6">
        <v>46</v>
      </c>
    </row>
    <row r="59" spans="1:14" ht="21">
      <c r="A59" s="6" t="s">
        <v>58</v>
      </c>
      <c r="B59" s="11" t="s">
        <v>87</v>
      </c>
      <c r="C59" s="6">
        <v>1</v>
      </c>
      <c r="D59" s="6" t="str">
        <f t="shared" si="5"/>
        <v>MODENA</v>
      </c>
      <c r="E59" s="14" t="s">
        <v>73</v>
      </c>
      <c r="F59" s="7" t="s">
        <v>205</v>
      </c>
      <c r="G59" s="6">
        <v>1</v>
      </c>
      <c r="H59" s="6">
        <v>3</v>
      </c>
      <c r="I59" s="13" t="b">
        <v>1</v>
      </c>
      <c r="J59" s="13" t="b">
        <v>0</v>
      </c>
      <c r="K59" s="13" t="b">
        <v>1</v>
      </c>
      <c r="L59" s="6" t="s">
        <v>194</v>
      </c>
      <c r="M59" s="6" t="s">
        <v>89</v>
      </c>
      <c r="N59" s="6">
        <v>48</v>
      </c>
    </row>
    <row r="60" spans="1:14" ht="21">
      <c r="A60" s="6" t="s">
        <v>206</v>
      </c>
      <c r="B60" s="6" t="s">
        <v>142</v>
      </c>
      <c r="C60" s="6">
        <v>0</v>
      </c>
      <c r="D60" s="6" t="s">
        <v>86</v>
      </c>
      <c r="E60" s="6" t="s">
        <v>87</v>
      </c>
      <c r="F60" s="7" t="s">
        <v>87</v>
      </c>
      <c r="G60" s="6" t="s">
        <v>87</v>
      </c>
      <c r="H60" s="6" t="s">
        <v>87</v>
      </c>
      <c r="I60" s="13" t="b">
        <v>1</v>
      </c>
      <c r="J60" s="13" t="b">
        <v>0</v>
      </c>
      <c r="K60" s="6" t="s">
        <v>87</v>
      </c>
      <c r="L60" s="6" t="s">
        <v>87</v>
      </c>
      <c r="M60" s="6" t="s">
        <v>89</v>
      </c>
      <c r="N60" s="6">
        <v>36</v>
      </c>
    </row>
    <row r="61" spans="1:14" ht="21">
      <c r="A61" s="6" t="s">
        <v>207</v>
      </c>
      <c r="B61" s="6" t="s">
        <v>143</v>
      </c>
      <c r="C61" s="6">
        <v>0</v>
      </c>
      <c r="D61" s="6" t="s">
        <v>86</v>
      </c>
      <c r="E61" s="6" t="s">
        <v>87</v>
      </c>
      <c r="F61" s="7" t="s">
        <v>87</v>
      </c>
      <c r="G61" s="6" t="s">
        <v>87</v>
      </c>
      <c r="H61" s="6" t="s">
        <v>87</v>
      </c>
      <c r="I61" s="13" t="b">
        <v>1</v>
      </c>
      <c r="J61" s="13" t="b">
        <v>1</v>
      </c>
      <c r="K61" s="6" t="s">
        <v>87</v>
      </c>
      <c r="L61" s="6" t="s">
        <v>87</v>
      </c>
      <c r="M61" s="6" t="s">
        <v>90</v>
      </c>
      <c r="N61" s="6">
        <v>29</v>
      </c>
    </row>
    <row r="62" spans="1:14" ht="21">
      <c r="A62" s="6" t="s">
        <v>208</v>
      </c>
      <c r="B62" s="6" t="s">
        <v>144</v>
      </c>
      <c r="C62" s="6">
        <v>0</v>
      </c>
      <c r="D62" s="6" t="s">
        <v>86</v>
      </c>
      <c r="E62" s="6" t="s">
        <v>87</v>
      </c>
      <c r="F62" s="7" t="s">
        <v>87</v>
      </c>
      <c r="G62" s="6" t="s">
        <v>87</v>
      </c>
      <c r="H62" s="6" t="s">
        <v>87</v>
      </c>
      <c r="I62" s="13" t="b">
        <v>1</v>
      </c>
      <c r="J62" s="13" t="b">
        <v>1</v>
      </c>
      <c r="K62" s="6" t="s">
        <v>87</v>
      </c>
      <c r="L62" s="6" t="s">
        <v>87</v>
      </c>
      <c r="M62" s="6" t="s">
        <v>90</v>
      </c>
      <c r="N62" s="6">
        <v>32</v>
      </c>
    </row>
    <row r="63" spans="1:14" ht="21">
      <c r="A63" s="6" t="s">
        <v>209</v>
      </c>
      <c r="B63" s="6" t="s">
        <v>145</v>
      </c>
      <c r="C63" s="6">
        <v>0</v>
      </c>
      <c r="D63" s="6" t="s">
        <v>86</v>
      </c>
      <c r="E63" s="6" t="s">
        <v>87</v>
      </c>
      <c r="F63" s="7" t="s">
        <v>87</v>
      </c>
      <c r="G63" s="6" t="s">
        <v>87</v>
      </c>
      <c r="H63" s="6" t="s">
        <v>87</v>
      </c>
      <c r="I63" s="13" t="b">
        <v>1</v>
      </c>
      <c r="J63" s="13" t="b">
        <v>1</v>
      </c>
      <c r="K63" s="6" t="s">
        <v>87</v>
      </c>
      <c r="L63" s="6" t="s">
        <v>87</v>
      </c>
      <c r="M63" s="6" t="s">
        <v>89</v>
      </c>
      <c r="N63" s="6">
        <v>28</v>
      </c>
    </row>
    <row r="64" spans="1:14" ht="21">
      <c r="A64" s="6" t="s">
        <v>210</v>
      </c>
      <c r="B64" s="6" t="s">
        <v>146</v>
      </c>
      <c r="C64" s="6">
        <v>0</v>
      </c>
      <c r="D64" s="6" t="s">
        <v>86</v>
      </c>
      <c r="E64" s="6" t="s">
        <v>87</v>
      </c>
      <c r="F64" s="7" t="s">
        <v>87</v>
      </c>
      <c r="G64" s="6" t="s">
        <v>87</v>
      </c>
      <c r="H64" s="6" t="s">
        <v>87</v>
      </c>
      <c r="I64" s="13" t="b">
        <v>1</v>
      </c>
      <c r="J64" s="13" t="b">
        <v>1</v>
      </c>
      <c r="K64" s="6" t="s">
        <v>87</v>
      </c>
      <c r="L64" s="6" t="s">
        <v>87</v>
      </c>
      <c r="M64" s="6" t="s">
        <v>89</v>
      </c>
      <c r="N64" s="6">
        <v>48</v>
      </c>
    </row>
    <row r="65" spans="1:14" ht="21">
      <c r="A65" s="6" t="s">
        <v>211</v>
      </c>
      <c r="B65" s="6" t="s">
        <v>147</v>
      </c>
      <c r="C65" s="6">
        <v>0</v>
      </c>
      <c r="D65" s="6" t="s">
        <v>86</v>
      </c>
      <c r="E65" s="6" t="s">
        <v>87</v>
      </c>
      <c r="F65" s="7" t="s">
        <v>87</v>
      </c>
      <c r="G65" s="6" t="s">
        <v>87</v>
      </c>
      <c r="H65" s="6" t="s">
        <v>87</v>
      </c>
      <c r="I65" s="13" t="b">
        <v>1</v>
      </c>
      <c r="J65" s="13" t="b">
        <v>1</v>
      </c>
      <c r="K65" s="6" t="s">
        <v>87</v>
      </c>
      <c r="L65" s="6" t="s">
        <v>87</v>
      </c>
      <c r="M65" s="6" t="s">
        <v>89</v>
      </c>
      <c r="N65" s="6">
        <v>32</v>
      </c>
    </row>
    <row r="66" spans="1:14" ht="21">
      <c r="A66" s="6" t="s">
        <v>212</v>
      </c>
      <c r="B66" s="6" t="s">
        <v>148</v>
      </c>
      <c r="C66" s="6">
        <v>0</v>
      </c>
      <c r="D66" s="6" t="s">
        <v>86</v>
      </c>
      <c r="E66" s="6" t="s">
        <v>87</v>
      </c>
      <c r="F66" s="7" t="s">
        <v>87</v>
      </c>
      <c r="G66" s="6" t="s">
        <v>87</v>
      </c>
      <c r="H66" s="6" t="s">
        <v>87</v>
      </c>
      <c r="I66" s="13" t="b">
        <v>1</v>
      </c>
      <c r="J66" s="13" t="b">
        <v>1</v>
      </c>
      <c r="K66" s="6" t="s">
        <v>87</v>
      </c>
      <c r="L66" s="6" t="s">
        <v>87</v>
      </c>
      <c r="M66" s="6" t="s">
        <v>89</v>
      </c>
      <c r="N66" s="6">
        <v>28</v>
      </c>
    </row>
    <row r="67" spans="1:14" ht="21">
      <c r="A67" s="6" t="s">
        <v>213</v>
      </c>
      <c r="B67" s="6" t="s">
        <v>149</v>
      </c>
      <c r="C67" s="6">
        <v>0</v>
      </c>
      <c r="D67" s="6" t="s">
        <v>86</v>
      </c>
      <c r="E67" s="6" t="s">
        <v>87</v>
      </c>
      <c r="F67" s="7" t="s">
        <v>87</v>
      </c>
      <c r="G67" s="6" t="s">
        <v>87</v>
      </c>
      <c r="H67" s="6" t="s">
        <v>87</v>
      </c>
      <c r="I67" s="13" t="b">
        <v>1</v>
      </c>
      <c r="J67" s="13" t="b">
        <v>1</v>
      </c>
      <c r="K67" s="6" t="s">
        <v>87</v>
      </c>
      <c r="L67" s="6" t="s">
        <v>87</v>
      </c>
      <c r="M67" s="6" t="s">
        <v>89</v>
      </c>
      <c r="N67" s="6">
        <v>26</v>
      </c>
    </row>
    <row r="68" spans="1:14" ht="21">
      <c r="A68" s="6" t="s">
        <v>214</v>
      </c>
      <c r="B68" s="6" t="s">
        <v>150</v>
      </c>
      <c r="C68" s="6">
        <v>0</v>
      </c>
      <c r="D68" s="6" t="s">
        <v>86</v>
      </c>
      <c r="E68" s="6" t="s">
        <v>87</v>
      </c>
      <c r="F68" s="7" t="s">
        <v>87</v>
      </c>
      <c r="G68" s="6" t="s">
        <v>87</v>
      </c>
      <c r="H68" s="6" t="s">
        <v>87</v>
      </c>
      <c r="I68" s="13" t="b">
        <v>1</v>
      </c>
      <c r="J68" s="13" t="b">
        <v>1</v>
      </c>
      <c r="K68" s="6" t="s">
        <v>87</v>
      </c>
      <c r="L68" s="6" t="s">
        <v>87</v>
      </c>
      <c r="M68" s="6" t="s">
        <v>90</v>
      </c>
      <c r="N68" s="6">
        <v>35</v>
      </c>
    </row>
    <row r="69" spans="1:14" ht="21">
      <c r="A69" s="6" t="s">
        <v>215</v>
      </c>
      <c r="B69" s="6" t="s">
        <v>151</v>
      </c>
      <c r="C69" s="6">
        <v>0</v>
      </c>
      <c r="D69" s="6" t="s">
        <v>86</v>
      </c>
      <c r="E69" s="6" t="s">
        <v>87</v>
      </c>
      <c r="F69" s="7" t="s">
        <v>87</v>
      </c>
      <c r="G69" s="6" t="s">
        <v>87</v>
      </c>
      <c r="H69" s="6" t="s">
        <v>87</v>
      </c>
      <c r="I69" s="13" t="b">
        <v>1</v>
      </c>
      <c r="J69" s="13" t="b">
        <v>1</v>
      </c>
      <c r="K69" s="6" t="s">
        <v>87</v>
      </c>
      <c r="L69" s="6" t="s">
        <v>87</v>
      </c>
      <c r="M69" s="6" t="s">
        <v>90</v>
      </c>
      <c r="N69" s="6">
        <v>44</v>
      </c>
    </row>
    <row r="70" spans="1:14" ht="21">
      <c r="A70" s="6" t="s">
        <v>216</v>
      </c>
      <c r="B70" s="6" t="s">
        <v>152</v>
      </c>
      <c r="C70" s="6">
        <v>0</v>
      </c>
      <c r="D70" s="6" t="s">
        <v>86</v>
      </c>
      <c r="E70" s="6" t="s">
        <v>87</v>
      </c>
      <c r="F70" s="7" t="s">
        <v>87</v>
      </c>
      <c r="G70" s="6" t="s">
        <v>87</v>
      </c>
      <c r="H70" s="6" t="s">
        <v>87</v>
      </c>
      <c r="I70" s="13" t="b">
        <v>1</v>
      </c>
      <c r="J70" s="13" t="b">
        <v>1</v>
      </c>
      <c r="K70" s="6" t="s">
        <v>87</v>
      </c>
      <c r="L70" s="6" t="s">
        <v>87</v>
      </c>
      <c r="M70" s="6" t="s">
        <v>90</v>
      </c>
      <c r="N70" s="6">
        <v>28</v>
      </c>
    </row>
    <row r="71" spans="1:14" ht="21">
      <c r="A71" s="6" t="s">
        <v>217</v>
      </c>
      <c r="B71" s="6" t="s">
        <v>153</v>
      </c>
      <c r="C71" s="6">
        <v>0</v>
      </c>
      <c r="D71" s="6" t="s">
        <v>86</v>
      </c>
      <c r="E71" s="6" t="s">
        <v>87</v>
      </c>
      <c r="F71" s="7" t="s">
        <v>87</v>
      </c>
      <c r="G71" s="6" t="s">
        <v>87</v>
      </c>
      <c r="H71" s="6" t="s">
        <v>87</v>
      </c>
      <c r="I71" s="13" t="b">
        <v>1</v>
      </c>
      <c r="J71" s="13" t="b">
        <v>1</v>
      </c>
      <c r="K71" s="6" t="s">
        <v>87</v>
      </c>
      <c r="L71" s="6" t="s">
        <v>87</v>
      </c>
      <c r="M71" s="6" t="s">
        <v>89</v>
      </c>
      <c r="N71" s="6">
        <v>51</v>
      </c>
    </row>
    <row r="72" spans="1:14" ht="21">
      <c r="A72" s="6" t="s">
        <v>218</v>
      </c>
      <c r="B72" s="6" t="s">
        <v>154</v>
      </c>
      <c r="C72" s="6">
        <v>0</v>
      </c>
      <c r="D72" s="6" t="s">
        <v>86</v>
      </c>
      <c r="E72" s="6" t="s">
        <v>87</v>
      </c>
      <c r="F72" s="7" t="s">
        <v>87</v>
      </c>
      <c r="G72" s="6" t="s">
        <v>87</v>
      </c>
      <c r="H72" s="6" t="s">
        <v>87</v>
      </c>
      <c r="I72" s="13" t="b">
        <v>1</v>
      </c>
      <c r="J72" s="13" t="b">
        <v>1</v>
      </c>
      <c r="K72" s="6" t="s">
        <v>87</v>
      </c>
      <c r="L72" s="6" t="s">
        <v>87</v>
      </c>
      <c r="M72" s="6" t="s">
        <v>89</v>
      </c>
      <c r="N72" s="6">
        <v>41</v>
      </c>
    </row>
    <row r="73" spans="1:14" ht="21">
      <c r="A73" s="6" t="s">
        <v>219</v>
      </c>
      <c r="B73" s="6" t="s">
        <v>155</v>
      </c>
      <c r="C73" s="6">
        <v>0</v>
      </c>
      <c r="D73" s="6" t="s">
        <v>86</v>
      </c>
      <c r="E73" s="6" t="s">
        <v>87</v>
      </c>
      <c r="F73" s="7" t="s">
        <v>87</v>
      </c>
      <c r="G73" s="6" t="s">
        <v>87</v>
      </c>
      <c r="H73" s="6" t="s">
        <v>87</v>
      </c>
      <c r="I73" s="13" t="b">
        <v>1</v>
      </c>
      <c r="J73" s="13" t="b">
        <v>1</v>
      </c>
      <c r="K73" s="6" t="s">
        <v>87</v>
      </c>
      <c r="L73" s="6" t="s">
        <v>87</v>
      </c>
      <c r="M73" s="6" t="s">
        <v>90</v>
      </c>
      <c r="N73" s="6">
        <v>28</v>
      </c>
    </row>
    <row r="74" spans="1:14" ht="21">
      <c r="A74" s="6" t="s">
        <v>220</v>
      </c>
      <c r="B74" s="6" t="s">
        <v>156</v>
      </c>
      <c r="C74" s="6">
        <v>0</v>
      </c>
      <c r="D74" s="6" t="s">
        <v>86</v>
      </c>
      <c r="E74" s="6" t="s">
        <v>87</v>
      </c>
      <c r="F74" s="7" t="s">
        <v>87</v>
      </c>
      <c r="G74" s="6" t="s">
        <v>87</v>
      </c>
      <c r="H74" s="6" t="s">
        <v>87</v>
      </c>
      <c r="I74" s="13" t="b">
        <v>1</v>
      </c>
      <c r="J74" s="13" t="b">
        <v>1</v>
      </c>
      <c r="K74" s="6" t="s">
        <v>87</v>
      </c>
      <c r="L74" s="6" t="s">
        <v>87</v>
      </c>
      <c r="M74" s="6" t="s">
        <v>90</v>
      </c>
      <c r="N74" s="6">
        <v>29</v>
      </c>
    </row>
    <row r="75" spans="1:14" ht="21">
      <c r="A75" s="6" t="s">
        <v>221</v>
      </c>
      <c r="B75" s="6" t="s">
        <v>157</v>
      </c>
      <c r="C75" s="6">
        <v>0</v>
      </c>
      <c r="D75" s="6" t="s">
        <v>86</v>
      </c>
      <c r="E75" s="6" t="s">
        <v>87</v>
      </c>
      <c r="F75" s="7" t="s">
        <v>87</v>
      </c>
      <c r="G75" s="6" t="s">
        <v>87</v>
      </c>
      <c r="H75" s="6" t="s">
        <v>87</v>
      </c>
      <c r="I75" s="13" t="b">
        <v>1</v>
      </c>
      <c r="J75" s="13" t="b">
        <v>1</v>
      </c>
      <c r="K75" s="6" t="s">
        <v>87</v>
      </c>
      <c r="L75" s="6" t="s">
        <v>87</v>
      </c>
      <c r="M75" s="6" t="s">
        <v>89</v>
      </c>
      <c r="N75" s="6">
        <v>37</v>
      </c>
    </row>
    <row r="76" spans="1:14" ht="21">
      <c r="A76" s="6" t="s">
        <v>222</v>
      </c>
      <c r="B76" s="6" t="s">
        <v>158</v>
      </c>
      <c r="C76" s="6">
        <v>0</v>
      </c>
      <c r="D76" s="6" t="s">
        <v>86</v>
      </c>
      <c r="E76" s="6" t="s">
        <v>87</v>
      </c>
      <c r="F76" s="7" t="s">
        <v>87</v>
      </c>
      <c r="G76" s="6" t="s">
        <v>87</v>
      </c>
      <c r="H76" s="6" t="s">
        <v>87</v>
      </c>
      <c r="I76" s="13" t="b">
        <v>1</v>
      </c>
      <c r="J76" s="13" t="b">
        <v>1</v>
      </c>
      <c r="K76" s="6" t="s">
        <v>87</v>
      </c>
      <c r="L76" s="6" t="s">
        <v>87</v>
      </c>
      <c r="M76" s="6" t="s">
        <v>90</v>
      </c>
      <c r="N76" s="6">
        <v>26</v>
      </c>
    </row>
    <row r="77" spans="1:14" ht="21">
      <c r="A77" s="6" t="s">
        <v>223</v>
      </c>
      <c r="B77" s="6" t="s">
        <v>159</v>
      </c>
      <c r="C77" s="6">
        <v>0</v>
      </c>
      <c r="D77" s="6" t="s">
        <v>86</v>
      </c>
      <c r="E77" s="6" t="s">
        <v>87</v>
      </c>
      <c r="F77" s="7" t="s">
        <v>87</v>
      </c>
      <c r="G77" s="6" t="s">
        <v>87</v>
      </c>
      <c r="H77" s="6" t="s">
        <v>87</v>
      </c>
      <c r="I77" s="13" t="b">
        <v>1</v>
      </c>
      <c r="J77" s="13" t="b">
        <v>1</v>
      </c>
      <c r="K77" s="6" t="s">
        <v>87</v>
      </c>
      <c r="L77" s="6" t="s">
        <v>87</v>
      </c>
      <c r="M77" s="6" t="s">
        <v>90</v>
      </c>
      <c r="N77" s="6">
        <v>44</v>
      </c>
    </row>
    <row r="78" spans="1:14" ht="21">
      <c r="A78" s="6" t="s">
        <v>224</v>
      </c>
      <c r="B78" s="6" t="s">
        <v>160</v>
      </c>
      <c r="C78" s="6">
        <v>0</v>
      </c>
      <c r="D78" s="6" t="s">
        <v>86</v>
      </c>
      <c r="E78" s="6" t="s">
        <v>87</v>
      </c>
      <c r="F78" s="7" t="s">
        <v>87</v>
      </c>
      <c r="G78" s="6" t="s">
        <v>87</v>
      </c>
      <c r="H78" s="6" t="s">
        <v>87</v>
      </c>
      <c r="I78" s="13" t="b">
        <v>1</v>
      </c>
      <c r="J78" s="13" t="b">
        <v>0</v>
      </c>
      <c r="K78" s="6" t="s">
        <v>87</v>
      </c>
      <c r="L78" s="6" t="s">
        <v>87</v>
      </c>
      <c r="M78" s="6" t="s">
        <v>89</v>
      </c>
      <c r="N78" s="6">
        <v>27</v>
      </c>
    </row>
    <row r="79" spans="1:14" ht="21">
      <c r="A79" s="6" t="s">
        <v>225</v>
      </c>
      <c r="B79" s="6" t="s">
        <v>161</v>
      </c>
      <c r="C79" s="6">
        <v>0</v>
      </c>
      <c r="D79" s="6" t="s">
        <v>86</v>
      </c>
      <c r="E79" s="6" t="s">
        <v>87</v>
      </c>
      <c r="F79" s="7" t="s">
        <v>87</v>
      </c>
      <c r="G79" s="6" t="s">
        <v>87</v>
      </c>
      <c r="H79" s="6" t="s">
        <v>87</v>
      </c>
      <c r="I79" s="13" t="b">
        <v>1</v>
      </c>
      <c r="J79" s="13" t="b">
        <v>1</v>
      </c>
      <c r="K79" s="6" t="s">
        <v>87</v>
      </c>
      <c r="L79" s="6" t="s">
        <v>87</v>
      </c>
      <c r="M79" s="6" t="s">
        <v>89</v>
      </c>
      <c r="N79" s="6">
        <v>26</v>
      </c>
    </row>
    <row r="80" spans="1:14" ht="21">
      <c r="A80" s="6" t="s">
        <v>226</v>
      </c>
      <c r="B80" s="6" t="s">
        <v>162</v>
      </c>
      <c r="C80" s="6">
        <v>0</v>
      </c>
      <c r="D80" s="6" t="s">
        <v>86</v>
      </c>
      <c r="E80" s="6" t="s">
        <v>87</v>
      </c>
      <c r="F80" s="7" t="s">
        <v>87</v>
      </c>
      <c r="G80" s="6" t="s">
        <v>87</v>
      </c>
      <c r="H80" s="6" t="s">
        <v>87</v>
      </c>
      <c r="I80" s="13" t="b">
        <v>1</v>
      </c>
      <c r="J80" s="13" t="b">
        <v>1</v>
      </c>
      <c r="K80" s="6" t="s">
        <v>87</v>
      </c>
      <c r="L80" s="6" t="s">
        <v>87</v>
      </c>
      <c r="M80" s="6" t="s">
        <v>89</v>
      </c>
      <c r="N80" s="6">
        <v>24</v>
      </c>
    </row>
    <row r="81" spans="1:14" ht="21">
      <c r="A81" s="6" t="s">
        <v>227</v>
      </c>
      <c r="B81" s="6" t="s">
        <v>163</v>
      </c>
      <c r="C81" s="6">
        <v>0</v>
      </c>
      <c r="D81" s="6" t="s">
        <v>86</v>
      </c>
      <c r="E81" s="6" t="s">
        <v>87</v>
      </c>
      <c r="F81" s="7" t="s">
        <v>87</v>
      </c>
      <c r="G81" s="6" t="s">
        <v>87</v>
      </c>
      <c r="H81" s="6" t="s">
        <v>87</v>
      </c>
      <c r="I81" s="13" t="b">
        <v>1</v>
      </c>
      <c r="J81" s="13" t="b">
        <v>1</v>
      </c>
      <c r="K81" s="6" t="s">
        <v>87</v>
      </c>
      <c r="L81" s="6" t="s">
        <v>87</v>
      </c>
      <c r="M81" s="6" t="s">
        <v>90</v>
      </c>
      <c r="N81" s="6">
        <v>31</v>
      </c>
    </row>
    <row r="82" spans="1:14" ht="21">
      <c r="A82" s="6" t="s">
        <v>228</v>
      </c>
      <c r="B82" s="6" t="s">
        <v>164</v>
      </c>
      <c r="C82" s="6">
        <v>0</v>
      </c>
      <c r="D82" s="6" t="s">
        <v>86</v>
      </c>
      <c r="E82" s="6" t="s">
        <v>87</v>
      </c>
      <c r="F82" s="7" t="s">
        <v>87</v>
      </c>
      <c r="G82" s="6" t="s">
        <v>87</v>
      </c>
      <c r="H82" s="6" t="s">
        <v>87</v>
      </c>
      <c r="I82" s="13" t="b">
        <v>1</v>
      </c>
      <c r="J82" s="13" t="b">
        <v>1</v>
      </c>
      <c r="K82" s="6" t="s">
        <v>87</v>
      </c>
      <c r="L82" s="6" t="s">
        <v>87</v>
      </c>
      <c r="M82" s="6" t="s">
        <v>90</v>
      </c>
      <c r="N82" s="6">
        <v>25</v>
      </c>
    </row>
    <row r="83" spans="1:14" ht="21">
      <c r="A83" s="6" t="s">
        <v>229</v>
      </c>
      <c r="B83" s="6" t="s">
        <v>165</v>
      </c>
      <c r="C83" s="6">
        <v>0</v>
      </c>
      <c r="D83" s="6" t="s">
        <v>86</v>
      </c>
      <c r="E83" s="6" t="s">
        <v>87</v>
      </c>
      <c r="F83" s="7" t="s">
        <v>87</v>
      </c>
      <c r="G83" s="6" t="s">
        <v>87</v>
      </c>
      <c r="H83" s="6" t="s">
        <v>87</v>
      </c>
      <c r="I83" s="13" t="b">
        <v>1</v>
      </c>
      <c r="J83" s="13" t="b">
        <v>1</v>
      </c>
      <c r="K83" s="6" t="s">
        <v>87</v>
      </c>
      <c r="L83" s="6" t="s">
        <v>87</v>
      </c>
      <c r="M83" s="6" t="s">
        <v>89</v>
      </c>
      <c r="N83" s="6">
        <v>26</v>
      </c>
    </row>
    <row r="84" spans="1:14" ht="21">
      <c r="A84" s="6" t="s">
        <v>230</v>
      </c>
      <c r="B84" s="6" t="s">
        <v>166</v>
      </c>
      <c r="C84" s="6">
        <v>0</v>
      </c>
      <c r="D84" s="6" t="s">
        <v>86</v>
      </c>
      <c r="E84" s="6" t="s">
        <v>87</v>
      </c>
      <c r="F84" s="7" t="s">
        <v>87</v>
      </c>
      <c r="G84" s="6" t="s">
        <v>87</v>
      </c>
      <c r="H84" s="6" t="s">
        <v>87</v>
      </c>
      <c r="I84" s="13" t="b">
        <v>1</v>
      </c>
      <c r="J84" s="13" t="b">
        <v>1</v>
      </c>
      <c r="K84" s="6" t="s">
        <v>87</v>
      </c>
      <c r="L84" s="6" t="s">
        <v>87</v>
      </c>
      <c r="M84" s="6" t="s">
        <v>90</v>
      </c>
      <c r="N84" s="6">
        <v>24</v>
      </c>
    </row>
    <row r="85" spans="1:14" ht="21">
      <c r="A85" s="6" t="s">
        <v>231</v>
      </c>
      <c r="B85" s="6" t="s">
        <v>167</v>
      </c>
      <c r="C85" s="6">
        <v>0</v>
      </c>
      <c r="D85" s="6" t="s">
        <v>86</v>
      </c>
      <c r="E85" s="6" t="s">
        <v>87</v>
      </c>
      <c r="F85" s="7" t="s">
        <v>87</v>
      </c>
      <c r="G85" s="6" t="s">
        <v>87</v>
      </c>
      <c r="H85" s="6" t="s">
        <v>87</v>
      </c>
      <c r="I85" s="13" t="b">
        <v>1</v>
      </c>
      <c r="J85" s="13" t="b">
        <v>1</v>
      </c>
      <c r="K85" s="6" t="s">
        <v>87</v>
      </c>
      <c r="L85" s="6" t="s">
        <v>87</v>
      </c>
      <c r="M85" s="6" t="s">
        <v>89</v>
      </c>
      <c r="N85" s="6">
        <v>24</v>
      </c>
    </row>
    <row r="86" spans="1:14" ht="21">
      <c r="A86" s="6" t="s">
        <v>232</v>
      </c>
      <c r="B86" s="6" t="s">
        <v>190</v>
      </c>
      <c r="C86" s="6">
        <v>0</v>
      </c>
      <c r="D86" s="6" t="s">
        <v>86</v>
      </c>
      <c r="E86" s="6" t="s">
        <v>87</v>
      </c>
      <c r="F86" s="7" t="s">
        <v>87</v>
      </c>
      <c r="G86" s="6" t="s">
        <v>87</v>
      </c>
      <c r="H86" s="6" t="s">
        <v>87</v>
      </c>
      <c r="I86" s="13" t="b">
        <v>1</v>
      </c>
      <c r="J86" s="13" t="b">
        <v>0</v>
      </c>
      <c r="K86" s="6" t="s">
        <v>87</v>
      </c>
      <c r="L86" s="6" t="s">
        <v>87</v>
      </c>
      <c r="M86" s="6" t="s">
        <v>89</v>
      </c>
      <c r="N86" s="6">
        <v>38</v>
      </c>
    </row>
    <row r="87" spans="1:14" ht="21">
      <c r="A87" s="6" t="s">
        <v>233</v>
      </c>
      <c r="B87" s="6" t="s">
        <v>189</v>
      </c>
      <c r="C87" s="6">
        <v>0</v>
      </c>
      <c r="D87" s="6" t="s">
        <v>86</v>
      </c>
      <c r="E87" s="6" t="s">
        <v>87</v>
      </c>
      <c r="F87" s="7" t="s">
        <v>87</v>
      </c>
      <c r="G87" s="6" t="s">
        <v>87</v>
      </c>
      <c r="H87" s="6" t="s">
        <v>87</v>
      </c>
      <c r="I87" s="13" t="b">
        <v>1</v>
      </c>
      <c r="J87" s="13" t="b">
        <v>1</v>
      </c>
      <c r="K87" s="6" t="s">
        <v>87</v>
      </c>
      <c r="L87" s="6" t="s">
        <v>87</v>
      </c>
      <c r="M87" s="6" t="s">
        <v>90</v>
      </c>
      <c r="N87" s="6">
        <v>52</v>
      </c>
    </row>
    <row r="88" spans="1:14" ht="21">
      <c r="A88" s="6" t="s">
        <v>234</v>
      </c>
      <c r="B88" s="6" t="s">
        <v>168</v>
      </c>
      <c r="C88" s="6">
        <v>0</v>
      </c>
      <c r="D88" s="6" t="s">
        <v>86</v>
      </c>
      <c r="E88" s="6" t="s">
        <v>87</v>
      </c>
      <c r="F88" s="7" t="s">
        <v>87</v>
      </c>
      <c r="G88" s="6" t="s">
        <v>87</v>
      </c>
      <c r="H88" s="6" t="s">
        <v>87</v>
      </c>
      <c r="I88" s="13" t="b">
        <v>1</v>
      </c>
      <c r="J88" s="13" t="b">
        <v>1</v>
      </c>
      <c r="K88" s="6" t="s">
        <v>87</v>
      </c>
      <c r="L88" s="6" t="s">
        <v>87</v>
      </c>
      <c r="M88" s="6" t="s">
        <v>90</v>
      </c>
      <c r="N88" s="6">
        <v>32</v>
      </c>
    </row>
    <row r="89" spans="1:14" ht="21">
      <c r="A89" s="6" t="s">
        <v>235</v>
      </c>
      <c r="B89" s="6" t="s">
        <v>169</v>
      </c>
      <c r="C89" s="6">
        <v>0</v>
      </c>
      <c r="D89" s="6" t="s">
        <v>86</v>
      </c>
      <c r="E89" s="6" t="s">
        <v>87</v>
      </c>
      <c r="F89" s="7" t="s">
        <v>87</v>
      </c>
      <c r="G89" s="6" t="s">
        <v>87</v>
      </c>
      <c r="H89" s="6" t="s">
        <v>87</v>
      </c>
      <c r="I89" s="13" t="b">
        <v>1</v>
      </c>
      <c r="J89" s="13" t="b">
        <v>1</v>
      </c>
      <c r="K89" s="6" t="s">
        <v>87</v>
      </c>
      <c r="L89" s="6" t="s">
        <v>87</v>
      </c>
      <c r="M89" s="6" t="s">
        <v>89</v>
      </c>
      <c r="N89" s="6">
        <v>49</v>
      </c>
    </row>
    <row r="90" spans="1:14" ht="21">
      <c r="A90" s="6" t="s">
        <v>236</v>
      </c>
      <c r="B90" s="6" t="s">
        <v>170</v>
      </c>
      <c r="C90" s="6">
        <v>0</v>
      </c>
      <c r="D90" s="6" t="s">
        <v>86</v>
      </c>
      <c r="E90" s="6" t="s">
        <v>87</v>
      </c>
      <c r="F90" s="7" t="s">
        <v>87</v>
      </c>
      <c r="G90" s="6" t="s">
        <v>87</v>
      </c>
      <c r="H90" s="6" t="s">
        <v>87</v>
      </c>
      <c r="I90" s="13" t="b">
        <v>1</v>
      </c>
      <c r="J90" s="13" t="b">
        <v>1</v>
      </c>
      <c r="K90" s="6" t="s">
        <v>87</v>
      </c>
      <c r="L90" s="6" t="s">
        <v>87</v>
      </c>
      <c r="M90" s="6" t="s">
        <v>90</v>
      </c>
      <c r="N90" s="6">
        <v>36</v>
      </c>
    </row>
    <row r="91" spans="1:14" ht="21">
      <c r="A91" s="6" t="s">
        <v>237</v>
      </c>
      <c r="B91" s="6" t="s">
        <v>171</v>
      </c>
      <c r="C91" s="6">
        <v>0</v>
      </c>
      <c r="D91" s="6" t="s">
        <v>86</v>
      </c>
      <c r="E91" s="6" t="s">
        <v>87</v>
      </c>
      <c r="F91" s="7" t="s">
        <v>87</v>
      </c>
      <c r="G91" s="6" t="s">
        <v>87</v>
      </c>
      <c r="H91" s="6" t="s">
        <v>87</v>
      </c>
      <c r="I91" s="13" t="b">
        <v>1</v>
      </c>
      <c r="J91" s="13" t="b">
        <v>1</v>
      </c>
      <c r="K91" s="6" t="s">
        <v>87</v>
      </c>
      <c r="L91" s="6" t="s">
        <v>87</v>
      </c>
      <c r="M91" s="6" t="s">
        <v>89</v>
      </c>
      <c r="N91" s="6" t="s">
        <v>87</v>
      </c>
    </row>
    <row r="92" spans="1:14" ht="21">
      <c r="A92" s="6" t="s">
        <v>238</v>
      </c>
      <c r="B92" s="6" t="s">
        <v>172</v>
      </c>
      <c r="C92" s="6">
        <v>0</v>
      </c>
      <c r="D92" s="6" t="s">
        <v>86</v>
      </c>
      <c r="E92" s="6" t="s">
        <v>87</v>
      </c>
      <c r="F92" s="7" t="s">
        <v>87</v>
      </c>
      <c r="G92" s="6" t="s">
        <v>87</v>
      </c>
      <c r="H92" s="6" t="s">
        <v>87</v>
      </c>
      <c r="I92" s="13" t="b">
        <v>1</v>
      </c>
      <c r="J92" s="13" t="b">
        <v>1</v>
      </c>
      <c r="K92" s="6" t="s">
        <v>87</v>
      </c>
      <c r="L92" s="6" t="s">
        <v>87</v>
      </c>
      <c r="M92" s="6" t="s">
        <v>89</v>
      </c>
      <c r="N92" s="6">
        <v>33</v>
      </c>
    </row>
    <row r="93" spans="1:14" ht="21">
      <c r="A93" s="6" t="s">
        <v>239</v>
      </c>
      <c r="B93" s="6" t="s">
        <v>173</v>
      </c>
      <c r="C93" s="6">
        <v>0</v>
      </c>
      <c r="D93" s="6" t="s">
        <v>86</v>
      </c>
      <c r="E93" s="6" t="s">
        <v>87</v>
      </c>
      <c r="F93" s="7" t="s">
        <v>87</v>
      </c>
      <c r="G93" s="6" t="s">
        <v>87</v>
      </c>
      <c r="H93" s="6" t="s">
        <v>87</v>
      </c>
      <c r="I93" s="13" t="b">
        <v>1</v>
      </c>
      <c r="J93" s="13" t="b">
        <v>1</v>
      </c>
      <c r="K93" s="6" t="s">
        <v>87</v>
      </c>
      <c r="L93" s="6" t="s">
        <v>87</v>
      </c>
      <c r="M93" s="6" t="s">
        <v>90</v>
      </c>
      <c r="N93" s="6">
        <v>27</v>
      </c>
    </row>
    <row r="94" spans="1:14" ht="21">
      <c r="A94" s="6" t="s">
        <v>240</v>
      </c>
      <c r="B94" s="6" t="s">
        <v>174</v>
      </c>
      <c r="C94" s="6">
        <v>0</v>
      </c>
      <c r="D94" s="6" t="s">
        <v>86</v>
      </c>
      <c r="E94" s="6" t="s">
        <v>87</v>
      </c>
      <c r="F94" s="7" t="s">
        <v>87</v>
      </c>
      <c r="G94" s="6" t="s">
        <v>87</v>
      </c>
      <c r="H94" s="6" t="s">
        <v>87</v>
      </c>
      <c r="I94" s="13" t="b">
        <v>1</v>
      </c>
      <c r="J94" s="13" t="b">
        <v>1</v>
      </c>
      <c r="K94" s="6" t="s">
        <v>87</v>
      </c>
      <c r="L94" s="6" t="s">
        <v>87</v>
      </c>
      <c r="M94" s="6" t="s">
        <v>90</v>
      </c>
      <c r="N94" s="6">
        <v>33</v>
      </c>
    </row>
    <row r="95" spans="1:14" ht="21">
      <c r="A95" s="6" t="s">
        <v>241</v>
      </c>
      <c r="B95" s="6" t="s">
        <v>175</v>
      </c>
      <c r="C95" s="6">
        <v>0</v>
      </c>
      <c r="D95" s="6" t="s">
        <v>86</v>
      </c>
      <c r="E95" s="6" t="s">
        <v>87</v>
      </c>
      <c r="F95" s="7" t="s">
        <v>87</v>
      </c>
      <c r="G95" s="6" t="s">
        <v>87</v>
      </c>
      <c r="H95" s="6" t="s">
        <v>87</v>
      </c>
      <c r="I95" s="13" t="b">
        <v>1</v>
      </c>
      <c r="J95" s="13" t="b">
        <v>1</v>
      </c>
      <c r="K95" s="6" t="s">
        <v>87</v>
      </c>
      <c r="L95" s="6" t="s">
        <v>87</v>
      </c>
      <c r="M95" s="6" t="s">
        <v>89</v>
      </c>
      <c r="N95" s="6">
        <v>21</v>
      </c>
    </row>
    <row r="96" spans="1:14" ht="21">
      <c r="A96" s="6" t="s">
        <v>242</v>
      </c>
      <c r="B96" s="6" t="s">
        <v>176</v>
      </c>
      <c r="C96" s="6">
        <v>0</v>
      </c>
      <c r="D96" s="6" t="s">
        <v>86</v>
      </c>
      <c r="E96" s="6" t="s">
        <v>87</v>
      </c>
      <c r="F96" s="7" t="s">
        <v>87</v>
      </c>
      <c r="G96" s="6" t="s">
        <v>87</v>
      </c>
      <c r="H96" s="6" t="s">
        <v>87</v>
      </c>
      <c r="I96" s="13" t="b">
        <v>1</v>
      </c>
      <c r="J96" s="13" t="b">
        <v>1</v>
      </c>
      <c r="K96" s="6" t="s">
        <v>87</v>
      </c>
      <c r="L96" s="6" t="s">
        <v>87</v>
      </c>
      <c r="M96" s="6" t="s">
        <v>89</v>
      </c>
      <c r="N96" s="6">
        <v>29</v>
      </c>
    </row>
    <row r="97" spans="1:14" ht="21">
      <c r="A97" s="6" t="s">
        <v>243</v>
      </c>
      <c r="B97" s="6" t="s">
        <v>177</v>
      </c>
      <c r="C97" s="6">
        <v>0</v>
      </c>
      <c r="D97" s="6" t="s">
        <v>86</v>
      </c>
      <c r="E97" s="6" t="s">
        <v>87</v>
      </c>
      <c r="F97" s="7" t="s">
        <v>87</v>
      </c>
      <c r="G97" s="6" t="s">
        <v>87</v>
      </c>
      <c r="H97" s="6" t="s">
        <v>87</v>
      </c>
      <c r="I97" s="13" t="b">
        <v>1</v>
      </c>
      <c r="J97" s="13" t="b">
        <v>1</v>
      </c>
      <c r="K97" s="6" t="s">
        <v>87</v>
      </c>
      <c r="L97" s="6" t="s">
        <v>87</v>
      </c>
      <c r="M97" s="6" t="s">
        <v>89</v>
      </c>
      <c r="N97" s="6">
        <v>43</v>
      </c>
    </row>
    <row r="98" spans="1:14" ht="21">
      <c r="A98" s="6" t="s">
        <v>244</v>
      </c>
      <c r="B98" s="6" t="s">
        <v>178</v>
      </c>
      <c r="C98" s="6">
        <v>0</v>
      </c>
      <c r="D98" s="6" t="s">
        <v>86</v>
      </c>
      <c r="E98" s="6" t="s">
        <v>87</v>
      </c>
      <c r="F98" s="7" t="s">
        <v>87</v>
      </c>
      <c r="G98" s="6" t="s">
        <v>87</v>
      </c>
      <c r="H98" s="6" t="s">
        <v>87</v>
      </c>
      <c r="I98" s="13" t="b">
        <v>1</v>
      </c>
      <c r="J98" s="13" t="b">
        <v>1</v>
      </c>
      <c r="K98" s="6" t="s">
        <v>87</v>
      </c>
      <c r="L98" s="6" t="s">
        <v>87</v>
      </c>
      <c r="M98" s="6" t="s">
        <v>89</v>
      </c>
      <c r="N98" s="6">
        <v>31</v>
      </c>
    </row>
    <row r="99" spans="1:14" ht="21">
      <c r="A99" s="6" t="s">
        <v>245</v>
      </c>
      <c r="B99" s="6" t="s">
        <v>179</v>
      </c>
      <c r="C99" s="6">
        <v>0</v>
      </c>
      <c r="D99" s="6" t="s">
        <v>86</v>
      </c>
      <c r="E99" s="6" t="s">
        <v>87</v>
      </c>
      <c r="F99" s="7" t="s">
        <v>87</v>
      </c>
      <c r="G99" s="6" t="s">
        <v>87</v>
      </c>
      <c r="H99" s="6" t="s">
        <v>87</v>
      </c>
      <c r="I99" s="13" t="b">
        <v>1</v>
      </c>
      <c r="J99" s="13" t="b">
        <v>1</v>
      </c>
      <c r="K99" s="6" t="s">
        <v>87</v>
      </c>
      <c r="L99" s="6" t="s">
        <v>87</v>
      </c>
      <c r="M99" s="6" t="s">
        <v>90</v>
      </c>
      <c r="N99" s="6">
        <v>46</v>
      </c>
    </row>
    <row r="100" spans="1:14" ht="21">
      <c r="A100" s="6" t="s">
        <v>246</v>
      </c>
      <c r="B100" s="6" t="s">
        <v>180</v>
      </c>
      <c r="C100" s="6">
        <v>0</v>
      </c>
      <c r="D100" s="6" t="s">
        <v>86</v>
      </c>
      <c r="E100" s="6" t="s">
        <v>87</v>
      </c>
      <c r="F100" s="7" t="s">
        <v>87</v>
      </c>
      <c r="G100" s="6" t="s">
        <v>87</v>
      </c>
      <c r="H100" s="6" t="s">
        <v>87</v>
      </c>
      <c r="I100" s="13" t="b">
        <v>1</v>
      </c>
      <c r="J100" s="13" t="b">
        <v>0</v>
      </c>
      <c r="K100" s="6" t="s">
        <v>87</v>
      </c>
      <c r="L100" s="6" t="s">
        <v>87</v>
      </c>
      <c r="M100" s="6" t="s">
        <v>90</v>
      </c>
      <c r="N100" s="6">
        <v>33</v>
      </c>
    </row>
    <row r="101" spans="1:14" ht="21">
      <c r="A101" s="6" t="s">
        <v>247</v>
      </c>
      <c r="B101" s="6" t="s">
        <v>181</v>
      </c>
      <c r="C101" s="6">
        <v>0</v>
      </c>
      <c r="D101" s="6" t="s">
        <v>86</v>
      </c>
      <c r="E101" s="6" t="s">
        <v>87</v>
      </c>
      <c r="F101" s="7" t="s">
        <v>87</v>
      </c>
      <c r="G101" s="6" t="s">
        <v>87</v>
      </c>
      <c r="H101" s="6" t="s">
        <v>87</v>
      </c>
      <c r="I101" s="13" t="b">
        <v>1</v>
      </c>
      <c r="J101" s="13" t="b">
        <v>1</v>
      </c>
      <c r="K101" s="6" t="s">
        <v>87</v>
      </c>
      <c r="L101" s="6" t="s">
        <v>87</v>
      </c>
      <c r="M101" s="6" t="s">
        <v>89</v>
      </c>
      <c r="N101" s="6">
        <v>30</v>
      </c>
    </row>
    <row r="102" spans="1:14" ht="21">
      <c r="A102" s="6" t="s">
        <v>248</v>
      </c>
      <c r="B102" s="6" t="s">
        <v>182</v>
      </c>
      <c r="C102" s="6">
        <v>0</v>
      </c>
      <c r="D102" s="6" t="s">
        <v>86</v>
      </c>
      <c r="E102" s="6" t="s">
        <v>87</v>
      </c>
      <c r="F102" s="7" t="s">
        <v>87</v>
      </c>
      <c r="G102" s="6" t="s">
        <v>87</v>
      </c>
      <c r="H102" s="6" t="s">
        <v>87</v>
      </c>
      <c r="I102" s="13" t="b">
        <v>1</v>
      </c>
      <c r="J102" s="13" t="b">
        <v>1</v>
      </c>
      <c r="K102" s="6" t="s">
        <v>87</v>
      </c>
      <c r="L102" s="6" t="s">
        <v>87</v>
      </c>
      <c r="M102" s="6" t="s">
        <v>89</v>
      </c>
      <c r="N102" s="6">
        <v>43</v>
      </c>
    </row>
    <row r="103" spans="1:14" ht="21">
      <c r="A103" s="6" t="s">
        <v>249</v>
      </c>
      <c r="B103" s="6" t="s">
        <v>183</v>
      </c>
      <c r="C103" s="6">
        <v>0</v>
      </c>
      <c r="D103" s="6" t="s">
        <v>86</v>
      </c>
      <c r="E103" s="6" t="s">
        <v>87</v>
      </c>
      <c r="F103" s="7" t="s">
        <v>87</v>
      </c>
      <c r="G103" s="6" t="s">
        <v>87</v>
      </c>
      <c r="H103" s="6" t="s">
        <v>87</v>
      </c>
      <c r="I103" s="13" t="b">
        <v>1</v>
      </c>
      <c r="J103" s="13" t="b">
        <v>1</v>
      </c>
      <c r="K103" s="6" t="s">
        <v>87</v>
      </c>
      <c r="L103" s="6" t="s">
        <v>87</v>
      </c>
      <c r="M103" s="6" t="s">
        <v>90</v>
      </c>
      <c r="N103" s="6">
        <v>34</v>
      </c>
    </row>
    <row r="104" spans="1:14" ht="21">
      <c r="A104" s="6" t="s">
        <v>250</v>
      </c>
      <c r="B104" s="6" t="s">
        <v>184</v>
      </c>
      <c r="C104" s="6">
        <v>0</v>
      </c>
      <c r="D104" s="6" t="s">
        <v>86</v>
      </c>
      <c r="E104" s="6" t="s">
        <v>87</v>
      </c>
      <c r="F104" s="7" t="s">
        <v>87</v>
      </c>
      <c r="G104" s="6" t="s">
        <v>87</v>
      </c>
      <c r="H104" s="6" t="s">
        <v>87</v>
      </c>
      <c r="I104" s="13" t="b">
        <v>1</v>
      </c>
      <c r="J104" s="13" t="b">
        <v>0</v>
      </c>
      <c r="K104" s="6" t="s">
        <v>87</v>
      </c>
      <c r="L104" s="6" t="s">
        <v>87</v>
      </c>
      <c r="M104" s="6" t="s">
        <v>90</v>
      </c>
      <c r="N104" s="6">
        <v>29</v>
      </c>
    </row>
    <row r="105" spans="1:14" ht="21">
      <c r="A105" s="6" t="s">
        <v>251</v>
      </c>
      <c r="B105" s="6" t="s">
        <v>185</v>
      </c>
      <c r="C105" s="6">
        <v>0</v>
      </c>
      <c r="D105" s="6" t="s">
        <v>86</v>
      </c>
      <c r="E105" s="6" t="s">
        <v>87</v>
      </c>
      <c r="F105" s="7" t="s">
        <v>87</v>
      </c>
      <c r="G105" s="6" t="s">
        <v>87</v>
      </c>
      <c r="H105" s="6" t="s">
        <v>87</v>
      </c>
      <c r="I105" s="13" t="b">
        <v>1</v>
      </c>
      <c r="J105" s="13" t="b">
        <v>1</v>
      </c>
      <c r="K105" s="6" t="s">
        <v>87</v>
      </c>
      <c r="L105" s="6" t="s">
        <v>87</v>
      </c>
      <c r="M105" s="6" t="s">
        <v>90</v>
      </c>
      <c r="N105" s="6">
        <v>44</v>
      </c>
    </row>
    <row r="106" spans="1:14" ht="21">
      <c r="A106" s="6" t="s">
        <v>252</v>
      </c>
      <c r="B106" s="6" t="s">
        <v>186</v>
      </c>
      <c r="C106" s="6">
        <v>0</v>
      </c>
      <c r="D106" s="6" t="s">
        <v>86</v>
      </c>
      <c r="E106" s="6" t="s">
        <v>87</v>
      </c>
      <c r="F106" s="7" t="s">
        <v>87</v>
      </c>
      <c r="G106" s="6" t="s">
        <v>87</v>
      </c>
      <c r="H106" s="6" t="s">
        <v>87</v>
      </c>
      <c r="I106" s="13" t="b">
        <v>1</v>
      </c>
      <c r="J106" s="13" t="b">
        <v>1</v>
      </c>
      <c r="K106" s="6" t="s">
        <v>87</v>
      </c>
      <c r="L106" s="6" t="s">
        <v>87</v>
      </c>
      <c r="M106" s="6" t="s">
        <v>90</v>
      </c>
      <c r="N106" s="6">
        <v>17</v>
      </c>
    </row>
    <row r="107" spans="1:14" ht="21">
      <c r="A107" s="6" t="s">
        <v>253</v>
      </c>
      <c r="B107" s="6" t="s">
        <v>187</v>
      </c>
      <c r="C107" s="6">
        <v>0</v>
      </c>
      <c r="D107" s="6" t="s">
        <v>86</v>
      </c>
      <c r="E107" s="6" t="s">
        <v>87</v>
      </c>
      <c r="F107" s="7" t="s">
        <v>87</v>
      </c>
      <c r="G107" s="6" t="s">
        <v>87</v>
      </c>
      <c r="H107" s="6" t="s">
        <v>87</v>
      </c>
      <c r="I107" s="13" t="b">
        <v>1</v>
      </c>
      <c r="J107" s="13" t="b">
        <v>1</v>
      </c>
      <c r="K107" s="6" t="s">
        <v>87</v>
      </c>
      <c r="L107" s="6" t="s">
        <v>87</v>
      </c>
      <c r="M107" s="6" t="s">
        <v>90</v>
      </c>
      <c r="N107" s="6">
        <v>41</v>
      </c>
    </row>
    <row r="108" spans="1:14" ht="21">
      <c r="A108" s="6" t="s">
        <v>254</v>
      </c>
      <c r="B108" s="6" t="s">
        <v>188</v>
      </c>
      <c r="C108" s="6">
        <v>0</v>
      </c>
      <c r="D108" s="6" t="s">
        <v>86</v>
      </c>
      <c r="E108" s="6" t="s">
        <v>87</v>
      </c>
      <c r="F108" s="7" t="s">
        <v>87</v>
      </c>
      <c r="G108" s="6" t="s">
        <v>87</v>
      </c>
      <c r="H108" s="6" t="s">
        <v>87</v>
      </c>
      <c r="I108" s="13" t="b">
        <v>1</v>
      </c>
      <c r="J108" s="13" t="b">
        <v>1</v>
      </c>
      <c r="K108" s="6" t="s">
        <v>87</v>
      </c>
      <c r="L108" s="6" t="s">
        <v>87</v>
      </c>
      <c r="M108" s="6" t="s">
        <v>90</v>
      </c>
      <c r="N108" s="6">
        <v>23</v>
      </c>
    </row>
    <row r="172" spans="4:4" ht="21">
      <c r="D172" s="6"/>
    </row>
    <row r="178" spans="1:6">
      <c r="B178" s="4"/>
      <c r="C178" s="1"/>
      <c r="D178" s="4"/>
      <c r="E178" s="4"/>
      <c r="F178" s="4"/>
    </row>
    <row r="179" spans="1:6" ht="16">
      <c r="A179" s="3"/>
      <c r="B179" s="3"/>
      <c r="C179" s="2"/>
    </row>
    <row r="180" spans="1:6" ht="16">
      <c r="A180" s="3"/>
      <c r="B180" s="3"/>
      <c r="C180" s="2"/>
    </row>
    <row r="181" spans="1:6" ht="16">
      <c r="A181" s="3"/>
      <c r="B181" s="3"/>
      <c r="C181" s="2"/>
    </row>
    <row r="182" spans="1:6" ht="16">
      <c r="A182" s="3"/>
      <c r="B182" s="3"/>
      <c r="C182" s="2"/>
    </row>
    <row r="183" spans="1:6" ht="16">
      <c r="A183" s="3"/>
      <c r="B183" s="3"/>
      <c r="C183" s="2"/>
    </row>
    <row r="184" spans="1:6" ht="16">
      <c r="A184" s="3"/>
      <c r="B184" s="3"/>
      <c r="C184" s="2"/>
    </row>
    <row r="185" spans="1:6" ht="16">
      <c r="A185" s="3"/>
      <c r="B185" s="3"/>
      <c r="C185" s="2"/>
    </row>
    <row r="186" spans="1:6" ht="16">
      <c r="A186" s="3"/>
      <c r="B186" s="3"/>
      <c r="C186" s="2"/>
    </row>
    <row r="187" spans="1:6" ht="16">
      <c r="A187" s="3"/>
      <c r="B187" s="3"/>
      <c r="C187" s="2"/>
    </row>
    <row r="188" spans="1:6" ht="16">
      <c r="A188" s="3"/>
      <c r="B188" s="3"/>
      <c r="C188" s="2"/>
    </row>
    <row r="189" spans="1:6" ht="16">
      <c r="A189" s="3"/>
      <c r="B189" s="3"/>
      <c r="C189" s="2"/>
    </row>
    <row r="190" spans="1:6" ht="16">
      <c r="A190" s="3"/>
      <c r="B190" s="3"/>
      <c r="C190" s="2"/>
    </row>
    <row r="191" spans="1:6" ht="16">
      <c r="A191" s="3"/>
      <c r="B191" s="3"/>
      <c r="C191" s="2"/>
    </row>
    <row r="192" spans="1:6" ht="16">
      <c r="A192" s="3"/>
      <c r="B192" s="3"/>
      <c r="C192" s="2"/>
    </row>
    <row r="193" spans="1:3" ht="16">
      <c r="A193" s="3"/>
      <c r="B193" s="3"/>
      <c r="C193" s="2"/>
    </row>
    <row r="194" spans="1:3" ht="16">
      <c r="A194" s="3"/>
      <c r="B194" s="3"/>
      <c r="C194" s="2"/>
    </row>
    <row r="195" spans="1:3" ht="16">
      <c r="A195" s="3"/>
      <c r="B195" s="3"/>
      <c r="C195" s="2"/>
    </row>
    <row r="196" spans="1:3" ht="16">
      <c r="A196" s="3"/>
      <c r="B196" s="3"/>
      <c r="C196" s="2"/>
    </row>
    <row r="197" spans="1:3" ht="16">
      <c r="A197" s="3"/>
      <c r="B197" s="3"/>
      <c r="C197" s="2"/>
    </row>
    <row r="198" spans="1:3" ht="16">
      <c r="A198" s="3"/>
      <c r="B198" s="3"/>
      <c r="C198" s="2"/>
    </row>
    <row r="199" spans="1:3" ht="16">
      <c r="A199" s="3"/>
      <c r="B199" s="3"/>
      <c r="C199" s="2"/>
    </row>
    <row r="200" spans="1:3" ht="16">
      <c r="A200" s="3"/>
      <c r="B200" s="3"/>
      <c r="C200" s="2"/>
    </row>
    <row r="201" spans="1:3" ht="16">
      <c r="A201" s="3"/>
      <c r="B201" s="3"/>
      <c r="C201" s="2"/>
    </row>
    <row r="202" spans="1:3" ht="16">
      <c r="A202" s="3"/>
      <c r="B202" s="3"/>
      <c r="C202" s="2"/>
    </row>
    <row r="203" spans="1:3" ht="16">
      <c r="A203" s="3"/>
      <c r="B203" s="3"/>
      <c r="C203" s="2"/>
    </row>
    <row r="204" spans="1:3" ht="16">
      <c r="A204" s="3"/>
      <c r="B204" s="3"/>
      <c r="C204" s="2"/>
    </row>
    <row r="205" spans="1:3" ht="16">
      <c r="A205" s="3"/>
      <c r="B205" s="3"/>
      <c r="C205" s="2"/>
    </row>
    <row r="206" spans="1:3" ht="16">
      <c r="A206" s="3"/>
      <c r="B206" s="3"/>
      <c r="C206" s="2"/>
    </row>
    <row r="207" spans="1:3" ht="16">
      <c r="A207" s="3"/>
      <c r="B207" s="3"/>
      <c r="C207" s="2"/>
    </row>
    <row r="208" spans="1:3" ht="16">
      <c r="A208" s="3"/>
      <c r="B208" s="3"/>
      <c r="C208" s="2"/>
    </row>
    <row r="209" spans="1:3" ht="16">
      <c r="A209" s="3"/>
      <c r="B209" s="3"/>
      <c r="C209" s="2"/>
    </row>
    <row r="210" spans="1:3" ht="16">
      <c r="A210" s="3"/>
      <c r="B210" s="3"/>
      <c r="C210" s="2"/>
    </row>
    <row r="211" spans="1:3" ht="16">
      <c r="A211" s="3"/>
      <c r="B211" s="3"/>
      <c r="C211" s="2"/>
    </row>
    <row r="212" spans="1:3" ht="16">
      <c r="A212" s="3"/>
      <c r="B212" s="3"/>
      <c r="C212" s="2"/>
    </row>
    <row r="213" spans="1:3" ht="16">
      <c r="A213" s="3"/>
      <c r="B213" s="3"/>
    </row>
    <row r="218" spans="1:3" ht="16">
      <c r="A218" s="3"/>
      <c r="B218" s="3"/>
      <c r="C218" s="2"/>
    </row>
    <row r="219" spans="1:3" ht="16">
      <c r="A219" s="3"/>
      <c r="B219" s="3"/>
      <c r="C219" s="2"/>
    </row>
    <row r="220" spans="1:3" ht="16">
      <c r="A220" s="3"/>
      <c r="B220" s="3"/>
      <c r="C220" s="2"/>
    </row>
    <row r="366" spans="3:3">
      <c r="C366" s="2"/>
    </row>
  </sheetData>
  <autoFilter ref="A1:L163" xr:uid="{8D78EF2D-1C1E-4C5B-9E22-F52FB5985581}"/>
  <sortState xmlns:xlrd2="http://schemas.microsoft.com/office/spreadsheetml/2017/richdata2" ref="A1">
    <sortCondition sortBy="cellColor" ref="A1"/>
  </sortState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Baroffio</dc:creator>
  <cp:lastModifiedBy>Martina Baroffio</cp:lastModifiedBy>
  <dcterms:created xsi:type="dcterms:W3CDTF">2025-02-11T13:03:53Z</dcterms:created>
  <dcterms:modified xsi:type="dcterms:W3CDTF">2025-04-30T13:37:52Z</dcterms:modified>
</cp:coreProperties>
</file>